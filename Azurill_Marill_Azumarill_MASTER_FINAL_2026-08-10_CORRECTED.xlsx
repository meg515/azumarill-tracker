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Inventory" sheetId="2" state="visible" r:id="rId2"/>
    <sheet xmlns:r="http://schemas.openxmlformats.org/officeDocument/2006/relationships" name="Acquisition Guide" sheetId="3" state="visible" r:id="rId3"/>
    <sheet xmlns:r="http://schemas.openxmlformats.org/officeDocument/2006/relationships" name="Cameos - Bonu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Variant Audit Queue" sheetId="6" state="visible" r:id="rId6"/>
    <sheet xmlns:r="http://schemas.openxmlformats.org/officeDocument/2006/relationships" name="Core Checklist" sheetId="7" state="visible" r:id="rId7"/>
    <sheet xmlns:r="http://schemas.openxmlformats.org/officeDocument/2006/relationships" name="Global Extras" sheetId="8" state="visible" r:id="rId8"/>
    <sheet xmlns:r="http://schemas.openxmlformats.org/officeDocument/2006/relationships" name="Fun Collections" sheetId="9" state="visible" r:id="rId9"/>
    <sheet xmlns:r="http://schemas.openxmlformats.org/officeDocument/2006/relationships" name="HTML Handoff" sheetId="10" state="visible" r:id="rId10"/>
    <sheet xmlns:r="http://schemas.openxmlformats.org/officeDocument/2006/relationships" name="Verification Log" sheetId="11" state="visible" r:id="rId11"/>
    <sheet xmlns:r="http://schemas.openxmlformats.org/officeDocument/2006/relationships" name="Finish Edition Audit" sheetId="12" state="visible" r:id="rId12"/>
    <sheet xmlns:r="http://schemas.openxmlformats.org/officeDocument/2006/relationships" name="Physical Conversion" sheetId="13" state="visible" r:id="rId13"/>
    <sheet xmlns:r="http://schemas.openxmlformats.org/officeDocument/2006/relationships" name="Final Gap Audit" sheetId="14" state="visible" r:id="rId14"/>
    <sheet xmlns:r="http://schemas.openxmlformats.org/officeDocument/2006/relationships" name="Collection Rules" sheetId="15" state="visible" r:id="rId15"/>
    <sheet xmlns:r="http://schemas.openxmlformats.org/officeDocument/2006/relationships" name="Tracker Handoff" sheetId="16" state="visible" r:id="rId16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mmm d, yyyy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FFFFFF"/>
      <sz val="13"/>
    </font>
    <font>
      <name val="Carlito"/>
      <b val="1"/>
      <color rgb="FF234A66"/>
      <sz val="11"/>
    </font>
    <font>
      <name val="Carlito"/>
      <b val="1"/>
      <color rgb="FF234A66"/>
      <sz val="13"/>
    </font>
  </fonts>
  <fills count="20">
    <fill>
      <patternFill/>
    </fill>
    <fill>
      <patternFill patternType="gray125"/>
    </fill>
    <fill>
      <patternFill patternType="solid">
        <fgColor rgb="FF5B8DB8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5B8DB8"/>
      </patternFill>
    </fill>
    <fill>
      <patternFill patternType="solid">
        <fgColor rgb="FFEAF3F8"/>
      </patternFill>
    </fill>
    <fill>
      <patternFill patternType="solid">
        <fgColor rgb="FF7BA6C9"/>
      </patternFill>
    </fill>
    <fill>
      <patternFill patternType="solid">
        <fgColor rgb="FF5B8DB8"/>
      </patternFill>
    </fill>
    <fill>
      <patternFill patternType="solid">
        <fgColor rgb="FFEAF3F8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7BA6C9"/>
      </patternFill>
    </fill>
    <fill>
      <patternFill patternType="solid">
        <fgColor rgb="FF5D8FB4"/>
      </patternFill>
    </fill>
    <fill>
      <patternFill patternType="solid">
        <fgColor rgb="FF7BA6C9"/>
      </patternFill>
    </fill>
  </fills>
  <borders count="2">
    <border/>
    <border/>
  </borders>
  <cellStyleXfs count="1">
    <xf numFmtId="0" fontId="0" fillId="0" borderId="1"/>
  </cellStyleXfs>
  <cellXfs count="121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1" fillId="2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wrapText="1"/>
    </xf>
    <xf numFmtId="0" fontId="2" fillId="7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top" wrapText="1"/>
    </xf>
    <xf numFmtId="0" fontId="1" fillId="8" borderId="0" applyAlignment="1" pivotButton="0" quotePrefix="0" xfId="0">
      <alignment horizontal="center" vertical="top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  <xf numFmtId="0" fontId="0" fillId="9" borderId="0" pivotButton="0" quotePrefix="0" xfId="0"/>
    <xf numFmtId="0" fontId="3" fillId="9" borderId="0" applyAlignment="1" pivotButton="0" quotePrefix="0" xfId="0">
      <alignment horizontal="center"/>
    </xf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vertical="top" wrapText="1"/>
    </xf>
    <xf numFmtId="0" fontId="4" fillId="9" borderId="0" pivotButton="0" quotePrefix="0" xfId="0"/>
    <xf numFmtId="0" fontId="5" fillId="9" borderId="0" applyAlignment="1" pivotButton="0" quotePrefix="0" xfId="0">
      <alignment horizontal="center"/>
    </xf>
    <xf numFmtId="0" fontId="0" fillId="9" borderId="0" applyAlignment="1" pivotButton="0" quotePrefix="0" xfId="0">
      <alignment wrapText="1"/>
    </xf>
    <xf numFmtId="0" fontId="5" fillId="9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/>
    </xf>
    <xf numFmtId="0" fontId="4" fillId="6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5" fillId="6" borderId="0" applyAlignment="1" pivotButton="0" quotePrefix="0" xfId="0">
      <alignment horizontal="center" wrapText="1"/>
    </xf>
    <xf numFmtId="0" fontId="0" fillId="10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11" borderId="0" pivotButton="0" quotePrefix="0" xfId="0"/>
    <xf numFmtId="0" fontId="2" fillId="11" borderId="0" pivotButton="0" quotePrefix="0" xfId="0"/>
    <xf numFmtId="0" fontId="2" fillId="11" borderId="0" applyAlignment="1" pivotButton="0" quotePrefix="0" xfId="0">
      <alignment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2" borderId="0" applyAlignment="1" pivotButton="0" quotePrefix="0" xfId="0">
      <alignment wrapText="1"/>
    </xf>
    <xf numFmtId="0" fontId="0" fillId="13" borderId="0" pivotButton="0" quotePrefix="0" xfId="0"/>
    <xf numFmtId="0" fontId="2" fillId="13" borderId="0" pivotButton="0" quotePrefix="0" xfId="0"/>
    <xf numFmtId="0" fontId="2" fillId="13" borderId="0" applyAlignment="1" pivotButton="0" quotePrefix="0" xfId="0">
      <alignment wrapText="1"/>
    </xf>
    <xf numFmtId="0" fontId="0" fillId="14" borderId="0" pivotButton="0" quotePrefix="0" xfId="0"/>
    <xf numFmtId="0" fontId="2" fillId="14" borderId="0" pivotButton="0" quotePrefix="0" xfId="0"/>
    <xf numFmtId="0" fontId="2" fillId="14" borderId="0" applyAlignment="1" pivotButton="0" quotePrefix="0" xfId="0">
      <alignment wrapText="1"/>
    </xf>
    <xf numFmtId="0" fontId="0" fillId="15" borderId="0" pivotButton="0" quotePrefix="0" xfId="0"/>
    <xf numFmtId="0" fontId="2" fillId="15" borderId="0" pivotButton="0" quotePrefix="0" xfId="0"/>
    <xf numFmtId="0" fontId="2" fillId="15" borderId="0" applyAlignment="1" pivotButton="0" quotePrefix="0" xfId="0">
      <alignment wrapText="1"/>
    </xf>
    <xf numFmtId="0" fontId="0" fillId="16" borderId="0" pivotButton="0" quotePrefix="0" xfId="0"/>
    <xf numFmtId="0" fontId="2" fillId="16" borderId="0" pivotButton="0" quotePrefix="0" xfId="0"/>
    <xf numFmtId="0" fontId="2" fillId="16" borderId="0" applyAlignment="1" pivotButton="0" quotePrefix="0" xfId="0">
      <alignment wrapText="1"/>
    </xf>
    <xf numFmtId="0" fontId="2" fillId="16" borderId="0" applyAlignment="1" pivotButton="0" quotePrefix="0" xfId="0">
      <alignment vertical="top" wrapText="1"/>
    </xf>
    <xf numFmtId="164" fontId="0" fillId="0" borderId="0" applyAlignment="1" pivotButton="0" quotePrefix="0" xfId="0">
      <alignment wrapText="1"/>
    </xf>
    <xf numFmtId="0" fontId="0" fillId="17" borderId="0" pivotButton="0" quotePrefix="0" xfId="0"/>
    <xf numFmtId="0" fontId="2" fillId="17" borderId="0" pivotButton="0" quotePrefix="0" xfId="0"/>
    <xf numFmtId="0" fontId="2" fillId="17" borderId="0" applyAlignment="1" pivotButton="0" quotePrefix="0" xfId="0">
      <alignment wrapText="1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vertical="center"/>
    </xf>
    <xf numFmtId="0" fontId="0" fillId="19" borderId="0" pivotButton="0" quotePrefix="0" xfId="0"/>
    <xf numFmtId="0" fontId="2" fillId="19" borderId="0" pivotButton="0" quotePrefix="0" xfId="0"/>
    <xf numFmtId="0" fontId="1" fillId="18" borderId="0" applyAlignment="1" pivotButton="0" quotePrefix="0" xfId="0">
      <alignment horizontal="center" vertical="center" wrapText="1"/>
    </xf>
    <xf numFmtId="0" fontId="2" fillId="19" borderId="0" applyAlignment="1" pivotButton="0" quotePrefix="0" xfId="0">
      <alignment wrapText="1"/>
    </xf>
    <xf numFmtId="0" fontId="1" fillId="18" borderId="0" applyAlignment="1" pivotButton="0" quotePrefix="0" xfId="0">
      <alignment horizontal="center" vertical="top" wrapText="1"/>
    </xf>
    <xf numFmtId="0" fontId="2" fillId="19" borderId="0" applyAlignment="1" pivotButton="0" quotePrefix="0" xfId="0">
      <alignment vertical="top" wrapText="1"/>
    </xf>
    <xf numFmtId="0" fontId="1" fillId="18" borderId="0" applyAlignment="1" pivotButton="0" quotePrefix="0" xfId="0">
      <alignment horizontal="center" wrapText="1"/>
    </xf>
    <xf numFmtId="0" fontId="2" fillId="18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1" fillId="18" borderId="1" applyAlignment="1" pivotButton="0" quotePrefix="0" xfId="0">
      <alignment horizontal="center" vertical="top" wrapText="1"/>
    </xf>
  </cellXfs>
  <cellStyles count="1">
    <cellStyle name="Normal" xfId="0"/>
  </cellStyles>
  <dxfs count="26">
    <dxf>
      <fill>
        <patternFill>
          <bgColor rgb="FFDDEEDB"/>
        </patternFill>
      </fill>
    </dxf>
    <dxf>
      <fill>
        <patternFill>
          <bgColor rgb="FFFFF1C7"/>
        </patternFill>
      </fill>
    </dxf>
    <dxf>
      <fill>
        <patternFill>
          <bgColor rgb="FFFADBD8"/>
        </patternFill>
      </fill>
    </dxf>
    <dxf>
      <fill>
        <patternFill>
          <bgColor rgb="FFF5E6FA"/>
        </patternFill>
      </fill>
    </dxf>
    <dxf>
      <fill>
        <patternFill>
          <bgColor rgb="FFFFF2CC"/>
        </patternFill>
      </fill>
    </dxf>
    <dxf>
      <fill>
        <patternFill>
          <bgColor rgb="FFDDEEDB"/>
        </patternFill>
      </fill>
    </dxf>
    <dxf>
      <fill>
        <patternFill>
          <bgColor rgb="FFFFF1C7"/>
        </patternFill>
      </fill>
    </dxf>
    <dxf>
      <fill>
        <patternFill>
          <bgColor rgb="FFDDEEDB"/>
        </patternFill>
      </fill>
    </dxf>
    <dxf>
      <fill>
        <patternFill>
          <bgColor rgb="FFFFF1C7"/>
        </patternFill>
      </fill>
    </dxf>
    <dxf>
      <fill>
        <patternFill>
          <bgColor rgb="FFFADBD8"/>
        </patternFill>
      </fill>
    </dxf>
    <dxf>
      <fill>
        <patternFill>
          <bgColor rgb="FFF5E6FA"/>
        </patternFill>
      </fill>
    </dxf>
    <dxf>
      <fill>
        <patternFill>
          <bgColor rgb="FFFFF2CC"/>
        </patternFill>
      </fill>
    </dxf>
    <dxf>
      <fill>
        <patternFill>
          <bgColor rgb="FFDDEEDB"/>
        </patternFill>
      </fill>
    </dxf>
    <dxf>
      <fill>
        <patternFill>
          <bgColor rgb="FFFADBD8"/>
        </patternFill>
      </fill>
    </dxf>
    <dxf>
      <fill>
        <patternFill>
          <bgColor rgb="FFDDEEDB"/>
        </patternFill>
      </fill>
    </dxf>
    <dxf>
      <fill>
        <patternFill>
          <bgColor rgb="FFFFF1C7"/>
        </patternFill>
      </fill>
    </dxf>
    <dxf>
      <fill>
        <patternFill>
          <bgColor rgb="FFFADBD8"/>
        </patternFill>
      </fill>
    </dxf>
    <dxf>
      <fill>
        <patternFill>
          <bgColor rgb="FFDDEEDB"/>
        </patternFill>
      </fill>
    </dxf>
    <dxf>
      <fill>
        <patternFill>
          <bgColor rgb="FFDDEEDB"/>
        </patternFill>
      </fill>
    </dxf>
    <dxf>
      <fill>
        <patternFill>
          <bgColor rgb="FFFFF1C7"/>
        </patternFill>
      </fill>
    </dxf>
    <dxf>
      <fill>
        <patternFill>
          <bgColor rgb="FFDCEAF7"/>
        </patternFill>
      </fill>
    </dxf>
    <dxf>
      <fill>
        <patternFill>
          <bgColor rgb="FFDDEEDB"/>
        </patternFill>
      </fill>
    </dxf>
    <dxf>
      <fill>
        <patternFill patternType="solid">
          <bgColor rgb="FFDDEEDB"/>
        </patternFill>
      </fill>
    </dxf>
    <dxf>
      <fill>
        <patternFill patternType="solid">
          <bgColor rgb="FFDCEAF7"/>
        </patternFill>
      </fill>
    </dxf>
    <dxf>
      <fill>
        <patternFill patternType="solid">
          <bgColor rgb="FFE8E8E8"/>
        </patternFill>
      </fill>
    </dxf>
    <dxf>
      <fill>
        <patternFill patternType="solid">
          <bgColor rgb="FFFFF1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MasterInventoryTable" displayName="MasterInventoryTable" ref="A1:S56" headerRowCount="1" totalsRowCount="0" totalsRowShown="0">
  <tableColumns count="19">
    <tableColumn id="1" name="ID"/>
    <tableColumn id="2" name="Species"/>
    <tableColumn id="3" name="Card Name"/>
    <tableColumn id="4" name="English Set / Product"/>
    <tableColumn id="5" name="English #"/>
    <tableColumn id="6" name="Japanese Set / Product"/>
    <tableColumn id="7" name="Japanese #"/>
    <tableColumn id="8" name="Era"/>
    <tableColumn id="9" name="Release Type"/>
    <tableColumn id="10" name="Fun Tags"/>
    <tableColumn id="11" name="Artist"/>
    <tableColumn id="12" name="Pack Status"/>
    <tableColumn id="13" name="How to Get It"/>
    <tableColumn id="14" name="Level 3 Variant Audit"/>
    <tableColumn id="15" name="Status"/>
    <tableColumn id="16" name="Qty Owned"/>
    <tableColumn id="17" name="Price Paid"/>
    <tableColumn id="18" name="Notes"/>
    <tableColumn id="19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quisitionGuideTable" displayName="AcquisitionGuideTable" ref="A1:D11" headerRowCount="1" totalsRowCount="0" totalsRowShown="0">
  <tableColumns count="4">
    <tableColumn id="1" name="Situation"/>
    <tableColumn id="2" name="Best route"/>
    <tableColumn id="3" name="Search format"/>
    <tableColumn id="4" name="Why / cau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riantAuditTable" displayName="VariantAuditTable" ref="A1:L16" headerRowCount="1" totalsRowCount="0" totalsRowShown="0">
  <tableColumns count="12">
    <tableColumn id="1" name="Priority"/>
    <tableColumn id="2" name="Species"/>
    <tableColumn id="3" name="Base Release"/>
    <tableColumn id="4" name="Known Variant / Reprint"/>
    <tableColumn id="5" name="Region / Language"/>
    <tableColumn id="6" name="Finish / Stamp"/>
    <tableColumn id="7" name="Verification"/>
    <tableColumn id="8" name="Why It Matters"/>
    <tableColumn id="9" name="Best Acquisition Route"/>
    <tableColumn id="10" name="Pasteable Search Terms"/>
    <tableColumn id="11" name="Source URL"/>
    <tableColumn id="12" name="Research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reChecklistTable" displayName="CoreChecklistTable" ref="A1:S180" headerRowCount="1" totalsRowCount="0" totalsRowShown="0">
  <tableColumns count="19">
    <tableColumn id="1" name="Core ID"/>
    <tableColumn id="2" name="Species"/>
    <tableColumn id="3" name="Card / Variant"/>
    <tableColumn id="4" name="Language"/>
    <tableColumn id="5" name="Region"/>
    <tableColumn id="6" name="Set / Product"/>
    <tableColumn id="7" name="Card #"/>
    <tableColumn id="8" name="Finish Target"/>
    <tableColumn id="9" name="Special Printing"/>
    <tableColumn id="10" name="Fun Tags"/>
    <tableColumn id="11" name="Pack / Product Status"/>
    <tableColumn id="12" name="Best Way to Get It"/>
    <tableColumn id="13" name="Pasteable Search"/>
    <tableColumn id="14" name="Difficulty"/>
    <tableColumn id="15" name="Status"/>
    <tableColumn id="16" name="Qty Owned"/>
    <tableColumn id="17" name="Price Paid"/>
    <tableColumn id="18" name="Notes"/>
    <tableColumn id="19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lobalExtrasRulesTable" displayName="GlobalExtrasRulesTable" ref="A1:E6" headerRowCount="1" totalsRowCount="0" totalsRowShown="0">
  <tableColumns count="5">
    <tableColumn id="1" name="Rule"/>
    <tableColumn id="2" name="Language / region"/>
    <tableColumn id="3" name="What counts here"/>
    <tableColumn id="4" name="Required for 100% Core?"/>
    <tableColumn id="5" name="How to hand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unCollectionsTable" displayName="FunCollectionsTable" ref="A1:D12" headerRowCount="1" totalsRowCount="0" totalsRowShown="0">
  <tableColumns count="4">
    <tableColumn id="1" name="Fun Collection"/>
    <tableColumn id="2" name="What qualifies"/>
    <tableColumn id="3" name="Examples in this family"/>
    <tableColumn id="4" name="Core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HTMLHandoffTable" displayName="HTMLHandoffTable" ref="A1:C19" headerRowCount="1" totalsRowCount="0" totalsRowShown="0">
  <tableColumns count="3">
    <tableColumn id="1" name="Field"/>
    <tableColumn id="2" name="Use in HTML tracker"/>
    <tableColumn id="3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erificationLogTable" displayName="VerificationLogTable" ref="A1:H14" headerRowCount="1" totalsRowCount="0" totalsRowShown="0">
  <tableColumns count="8">
    <tableColumn id="1" name="Item"/>
    <tableColumn id="2" name="Finding"/>
    <tableColumn id="3" name="Action"/>
    <tableColumn id="4" name="Status"/>
    <tableColumn id="5" name="Evidence / Source"/>
    <tableColumn id="6" name="Impact"/>
    <tableColumn id="7" name="Next Research"/>
    <tableColumn id="8" name="App Handl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inishEditionAuditTable" displayName="FinishEditionAuditTable" ref="A1:J16" headerRowCount="1" totalsRowCount="0" totalsRowShown="0">
  <tableColumns count="10">
    <tableColumn id="1" name="Species"/>
    <tableColumn id="2" name="Card / Set"/>
    <tableColumn id="3" name="Language"/>
    <tableColumn id="4" name="Verified Physical Variant"/>
    <tableColumn id="5" name="Core Action"/>
    <tableColumn id="6" name="Status"/>
    <tableColumn id="7" name="Evidence"/>
    <tableColumn id="8" name="Acquisition Note"/>
    <tableColumn id="9" name="Stable Variant Key"/>
    <tableColumn id="10" name="Research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22" customWidth="1" style="37" min="2" max="2"/>
    <col width="22" customWidth="1" style="37" min="3" max="3"/>
    <col width="25" customWidth="1" style="37" min="4" max="4"/>
    <col width="25" customWidth="1" style="37" min="5" max="5"/>
    <col width="25" customWidth="1" style="37" min="6" max="6"/>
    <col width="25" customWidth="1" style="37" min="7" max="7"/>
    <col width="25" customWidth="1" style="37" min="8" max="8"/>
  </cols>
  <sheetData>
    <row r="1" ht="30" customHeight="1" s="37">
      <c r="A1" s="115" t="inlineStr">
        <is>
          <t>Azurill → Marill → Azumarill Master Collection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3">
      <c r="A3" s="17" t="inlineStr">
        <is>
          <t>FINAL MASTER COLLECTION</t>
        </is>
      </c>
      <c r="B3" s="17" t="str"/>
      <c r="C3" s="26" t="n"/>
      <c r="D3" s="17" t="inlineStr">
        <is>
          <t>FINAL COLLECTION RULE</t>
        </is>
      </c>
      <c r="E3" s="17" t="str"/>
      <c r="F3" s="17" t="str"/>
      <c r="G3" s="17" t="str"/>
      <c r="H3" s="17" t="str"/>
    </row>
    <row r="4">
      <c r="A4" s="71" t="inlineStr">
        <is>
          <t>Required Core</t>
        </is>
      </c>
      <c r="B4" s="26" t="n">
        <v>257</v>
      </c>
      <c r="C4" s="26" t="n"/>
      <c r="D4" s="71" t="inlineStr">
        <is>
          <t>Required languages</t>
        </is>
      </c>
      <c r="E4" s="26" t="inlineStr">
        <is>
          <t>English + Japanese + Spanish</t>
        </is>
      </c>
      <c r="F4" s="26" t="str"/>
      <c r="G4" s="26" t="str"/>
      <c r="H4" s="26" t="str"/>
    </row>
    <row r="5">
      <c r="A5" s="71" t="inlineStr">
        <is>
          <t>Owned</t>
        </is>
      </c>
      <c r="B5" s="26">
        <f>COUNTIF('Core Checklist'!O2:O258,"OWNED")</f>
        <v/>
      </c>
      <c r="C5" s="26" t="n"/>
      <c r="D5" s="71" t="inlineStr">
        <is>
          <t>Other languages</t>
        </is>
      </c>
      <c r="E5" s="26" t="inlineStr">
        <is>
          <t>Required only for unique regional artwork/product/card number/stamp/foil/treatment.</t>
        </is>
      </c>
      <c r="F5" s="26" t="str"/>
      <c r="G5" s="26" t="str"/>
      <c r="H5" s="26" t="str"/>
    </row>
    <row r="6">
      <c r="A6" s="71" t="inlineStr">
        <is>
          <t>Ordered</t>
        </is>
      </c>
      <c r="B6" s="26">
        <f>COUNTIF('Core Checklist'!O2:O258,"ORDERED")</f>
        <v/>
      </c>
      <c r="C6" s="26" t="n"/>
      <c r="D6" s="71" t="inlineStr">
        <is>
          <t>Core includes</t>
        </is>
      </c>
      <c r="E6" s="26" t="inlineStr">
        <is>
          <t>Promos, deck exclusives, stamps, special products, regional exclusives, meaningful finishes.</t>
        </is>
      </c>
      <c r="F6" s="26" t="str"/>
      <c r="G6" s="26" t="str"/>
      <c r="H6" s="26" t="str"/>
    </row>
    <row r="7">
      <c r="A7" s="71" t="inlineStr">
        <is>
          <t>Need</t>
        </is>
      </c>
      <c r="B7" s="26">
        <f>COUNTIF('Core Checklist'!O2:O258,"NEED")</f>
        <v/>
      </c>
      <c r="C7" s="26" t="n"/>
      <c r="D7" s="71" t="inlineStr">
        <is>
          <t>Core excludes</t>
        </is>
      </c>
      <c r="E7" s="26" t="inlineStr">
        <is>
          <t>Same physical card translated into other non-baseline languages.</t>
        </is>
      </c>
      <c r="F7" s="26" t="str"/>
      <c r="G7" s="26" t="str"/>
      <c r="H7" s="26" t="str"/>
    </row>
    <row r="8">
      <c r="A8" s="71" t="inlineStr">
        <is>
          <t>Completion</t>
        </is>
      </c>
      <c r="B8" s="116">
        <f>IF(B4=0,0,B5/B4)</f>
        <v/>
      </c>
      <c r="C8" s="26" t="n"/>
      <c r="D8" s="71" t="inlineStr">
        <is>
          <t>Cameos</t>
        </is>
      </c>
      <c r="E8" s="26" t="inlineStr">
        <is>
          <t>Bonus only; never block 100% Core completion.</t>
        </is>
      </c>
      <c r="F8" s="26" t="str"/>
      <c r="G8" s="26" t="str"/>
      <c r="H8" s="26" t="str"/>
    </row>
    <row r="9">
      <c r="A9" s="71" t="inlineStr">
        <is>
          <t>Azurill</t>
        </is>
      </c>
      <c r="B9" s="117" t="n">
        <v>21</v>
      </c>
      <c r="C9" s="26" t="n"/>
      <c r="D9" s="71" t="inlineStr">
        <is>
          <t>Condition / grading</t>
        </is>
      </c>
      <c r="E9" s="26" t="inlineStr">
        <is>
          <t>Do not create separate variants.</t>
        </is>
      </c>
      <c r="F9" s="26" t="str"/>
      <c r="G9" s="26" t="str"/>
      <c r="H9" s="26" t="str"/>
    </row>
    <row r="10">
      <c r="A10" s="48" t="inlineStr">
        <is>
          <t>Marill</t>
        </is>
      </c>
      <c r="B10" s="118" t="n">
        <v>124</v>
      </c>
      <c r="C10" s="41" t="n"/>
      <c r="D10" s="48" t="inlineStr">
        <is>
          <t>Buying approach</t>
        </is>
      </c>
      <c r="E10" s="41" t="inlineStr">
        <is>
          <t>Out-of-print cards: buy singles. Use sealed packs only for fun, not completion.</t>
        </is>
      </c>
      <c r="F10" s="41" t="str"/>
      <c r="G10" s="41" t="str"/>
      <c r="H10" s="41" t="str"/>
    </row>
    <row r="11">
      <c r="A11" s="119" t="inlineStr">
        <is>
          <t>Azumarill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48" t="inlineStr">
        <is>
          <t>English</t>
        </is>
      </c>
      <c r="B12" s="41" t="n">
        <v>97</v>
      </c>
      <c r="C12" s="41" t="n"/>
      <c r="D12" s="48" t="inlineStr">
        <is>
          <t>Research date</t>
        </is>
      </c>
      <c r="E12" s="41" t="inlineStr">
        <is>
          <t>2026-08-10</t>
        </is>
      </c>
      <c r="F12" s="41" t="str"/>
      <c r="G12" s="41" t="str"/>
      <c r="H12" s="41" t="str"/>
    </row>
    <row r="13">
      <c r="A13" s="48" t="inlineStr">
        <is>
          <t>Japanese</t>
        </is>
      </c>
      <c r="B13" s="41" t="n">
        <v>83</v>
      </c>
      <c r="C13" s="41" t="n"/>
      <c r="D13" s="16" t="inlineStr">
        <is>
          <t>AUDIT STATE</t>
        </is>
      </c>
      <c r="E13" s="16" t="str"/>
      <c r="F13" s="16" t="str"/>
      <c r="G13" s="16" t="str"/>
      <c r="H13" s="16" t="str"/>
    </row>
    <row r="14">
      <c r="A14" s="48" t="inlineStr">
        <is>
          <t>Spanish</t>
        </is>
      </c>
      <c r="B14" s="41" t="n">
        <v>61</v>
      </c>
      <c r="C14" s="41" t="n"/>
      <c r="D14" s="41" t="inlineStr">
        <is>
          <t>Working count</t>
        </is>
      </c>
      <c r="E14" s="41" t="inlineStr">
        <is>
          <t>176 rows after removing 3 EX Sandstorm Spanish assumptions. This is NOT the final physical-card total.</t>
        </is>
      </c>
      <c r="F14" s="41" t="str"/>
      <c r="G14" s="41" t="str"/>
      <c r="H14" s="41" t="str"/>
    </row>
    <row r="15">
      <c r="A15" s="48" t="inlineStr">
        <is>
          <t>Dataset</t>
        </is>
      </c>
      <c r="B15" s="41" t="inlineStr">
        <is>
          <t>AZF-2026-08-10-v1</t>
        </is>
      </c>
      <c r="C15" s="41" t="n"/>
      <c r="D15" s="41" t="inlineStr">
        <is>
          <t>Why not final</t>
        </is>
      </c>
      <c r="E15" s="41" t="inlineStr">
        <is>
          <t>Regular/reverse/holo/stamped and edition variants still need to be split into separate physical rows.</t>
        </is>
      </c>
      <c r="F15" s="41" t="str"/>
      <c r="G15" s="41" t="str"/>
      <c r="H15" s="41" t="str"/>
    </row>
    <row r="16">
      <c r="A16" s="48" t="n"/>
      <c r="B16" s="41" t="n"/>
      <c r="C16" s="41" t="n"/>
      <c r="D16" s="41" t="inlineStr">
        <is>
          <t>Rule</t>
        </is>
      </c>
      <c r="E16" s="41" t="inlineStr">
        <is>
          <t>A card does not enter the final required count until its language + physical printing is verified.</t>
        </is>
      </c>
      <c r="F16" s="41" t="str"/>
      <c r="G16" s="41" t="str"/>
      <c r="H16" s="41" t="str"/>
    </row>
    <row r="17">
      <c r="A17" s="41" t="n"/>
      <c r="B17" s="41" t="n"/>
      <c r="C17" s="41" t="n"/>
      <c r="D17" s="41" t="inlineStr">
        <is>
          <t>App migration</t>
        </is>
      </c>
      <c r="E17" s="41" t="inlineStr">
        <is>
          <t>Use StableKey in Notes / future stableKey field so ownership survives changing numeric IDs.</t>
        </is>
      </c>
      <c r="F17" s="41" t="str"/>
      <c r="G17" s="41" t="str"/>
      <c r="H17" s="41" t="str"/>
    </row>
    <row r="18">
      <c r="A18" s="41" t="n"/>
      <c r="B18" s="41" t="n"/>
      <c r="C18" s="41" t="n"/>
      <c r="D18" s="16" t="inlineStr">
        <is>
          <t>AUDIT PROGRESS</t>
        </is>
      </c>
      <c r="E18" s="16" t="str"/>
      <c r="F18" s="16" t="str"/>
      <c r="G18" s="16" t="str"/>
      <c r="H18" s="16" t="str"/>
    </row>
    <row r="19">
      <c r="A19" s="41" t="n"/>
      <c r="B19" s="41" t="n"/>
      <c r="C19" s="41" t="n"/>
      <c r="D19" s="41" t="inlineStr">
        <is>
          <t>Working release rows</t>
        </is>
      </c>
      <c r="E19" s="41" t="n">
        <v>163</v>
      </c>
      <c r="F19" s="41" t="str"/>
      <c r="G19" s="41" t="str"/>
      <c r="H19" s="41" t="str"/>
    </row>
    <row r="20">
      <c r="A20" s="41" t="n"/>
      <c r="B20" s="41" t="n"/>
      <c r="C20" s="41" t="n"/>
      <c r="D20" s="41" t="inlineStr">
        <is>
          <t>Spanish rows removed this pass</t>
        </is>
      </c>
      <c r="E20" s="41" t="n">
        <v>13</v>
      </c>
      <c r="F20" s="41" t="str"/>
      <c r="G20" s="41" t="str"/>
      <c r="H20" s="41" t="str"/>
    </row>
    <row r="21">
      <c r="A21" s="41" t="n"/>
      <c r="B21" s="41" t="n"/>
      <c r="C21" s="41" t="n"/>
      <c r="D21" s="41" t="inlineStr">
        <is>
          <t>Eras now audited for language/finish rules</t>
        </is>
      </c>
      <c r="E21" s="41" t="inlineStr">
        <is>
          <t>e-Card, EX Delta Species, EX Team Rocket Returns, Diamond &amp; Pearl base, HeartGold &amp; SoulSilver base</t>
        </is>
      </c>
      <c r="F21" s="41" t="str"/>
      <c r="G21" s="41" t="str"/>
      <c r="H21" s="41" t="str"/>
    </row>
    <row r="22">
      <c r="A22" s="41" t="n"/>
      <c r="B22" s="41" t="n"/>
      <c r="C22" s="41" t="n"/>
      <c r="D22" s="41" t="inlineStr">
        <is>
          <t>Biggest correction</t>
        </is>
      </c>
      <c r="E22" s="41" t="inlineStr">
        <is>
          <t>Individual Bulbapedia page language tabs are translations of the wiki page, not proof that the physical card was printed in that language.</t>
        </is>
      </c>
      <c r="F22" s="41" t="str"/>
      <c r="G22" s="41" t="str"/>
      <c r="H22" s="41" t="str"/>
    </row>
    <row r="23">
      <c r="A23" s="41" t="n"/>
      <c r="B23" s="41" t="n"/>
      <c r="C23" s="41" t="n"/>
      <c r="D23" s="41" t="inlineStr">
        <is>
          <t>Still pending</t>
        </is>
      </c>
      <c r="E23" s="41" t="inlineStr">
        <is>
          <t>Other EX sets in family, later D&amp;P/Platinum-era releases if any, BW, XY, Sun &amp; Moon, Sword &amp; Shield, Scarlet &amp; Violet/Mega-era reprints and product-specific variants.</t>
        </is>
      </c>
      <c r="F23" s="41" t="str"/>
      <c r="G23" s="41" t="str"/>
      <c r="H23" s="41" t="str"/>
    </row>
    <row r="24">
      <c r="A24" s="41" t="n"/>
      <c r="B24" s="41" t="n"/>
      <c r="C24" s="41" t="n"/>
      <c r="D24" s="41" t="inlineStr">
        <is>
          <t>Final count</t>
        </is>
      </c>
      <c r="E24" s="41" t="inlineStr">
        <is>
          <t>Not frozen yet. Verified finish/edition splits will increase the physical-card total after release-row cleanup.</t>
        </is>
      </c>
      <c r="F24" s="41" t="str"/>
      <c r="G24" s="41" t="str"/>
      <c r="H24" s="41" t="str"/>
    </row>
    <row r="25">
      <c r="A25" s="41" t="n"/>
      <c r="B25" s="41" t="n"/>
      <c r="C25" s="41" t="n"/>
      <c r="D25" s="16" t="inlineStr">
        <is>
          <t>BW / XY / SUN &amp; MOON AUDIT</t>
        </is>
      </c>
      <c r="E25" s="16" t="str"/>
      <c r="F25" s="16" t="str"/>
      <c r="G25" s="16" t="str"/>
      <c r="H25" s="16" t="str"/>
    </row>
    <row r="26">
      <c r="A26" s="41" t="n"/>
      <c r="B26" s="41" t="n"/>
      <c r="C26" s="41" t="n"/>
      <c r="D26" s="41" t="inlineStr">
        <is>
          <t>Sets completed</t>
        </is>
      </c>
      <c r="E26" s="41" t="inlineStr">
        <is>
          <t>Boundaries Crossed, Primal Clash, Steam Siege, Burning Shadows, Lost Thunder</t>
        </is>
      </c>
      <c r="F26" s="41" t="str"/>
      <c r="G26" s="41" t="str"/>
      <c r="H26" s="41" t="str"/>
    </row>
    <row r="27">
      <c r="A27" s="41" t="n"/>
      <c r="B27" s="41" t="n"/>
      <c r="C27" s="41" t="n"/>
      <c r="D27" s="41" t="inlineStr">
        <is>
          <t>Spanish result</t>
        </is>
      </c>
      <c r="E27" s="41" t="inlineStr">
        <is>
          <t>All five sets are confirmed in Spanish; their Spanish cards have reverse-holo counterparts.</t>
        </is>
      </c>
      <c r="F27" s="41" t="str"/>
      <c r="G27" s="41" t="str"/>
      <c r="H27" s="41" t="str"/>
    </row>
    <row r="28">
      <c r="A28" s="41" t="n"/>
      <c r="B28" s="41" t="n"/>
      <c r="C28" s="41" t="n"/>
      <c r="D28" s="41" t="inlineStr">
        <is>
          <t>Japanese edition result</t>
        </is>
      </c>
      <c r="E28" s="41" t="inlineStr">
        <is>
          <t>Boundaries Crossed/Primal Clash/Steam Siege counterparts: 1st + Unlimited. Burning Shadows/Lost Thunder counterparts: Unlimited only.</t>
        </is>
      </c>
      <c r="F28" s="41" t="str"/>
      <c r="G28" s="41" t="str"/>
      <c r="H28" s="41" t="str"/>
    </row>
    <row r="29">
      <c r="A29" s="41" t="n"/>
      <c r="B29" s="41" t="n"/>
      <c r="C29" s="41" t="n"/>
      <c r="D29" s="41" t="inlineStr">
        <is>
          <t>Special find retained</t>
        </is>
      </c>
      <c r="E29" s="41" t="inlineStr">
        <is>
          <t>Marill McDonald's Collection 2015 is a separate Confetti Holo target using the Primal Clash artwork.</t>
        </is>
      </c>
      <c r="F29" s="41" t="str"/>
      <c r="G29" s="41" t="str"/>
      <c r="H29" s="41" t="str"/>
    </row>
    <row r="30">
      <c r="A30" s="41" t="n"/>
      <c r="B30" s="41" t="n"/>
      <c r="C30" s="41" t="n"/>
      <c r="D30" s="41" t="inlineStr">
        <is>
          <t>Next pass</t>
        </is>
      </c>
      <c r="E30" s="41" t="inlineStr">
        <is>
          <t>Sword &amp; Shield, Scarlet &amp; Violet, current Mega-era releases, Japanese deck reprints, Prize Pack/stamped/regional special products.</t>
        </is>
      </c>
      <c r="F30" s="41" t="str"/>
      <c r="G30" s="41" t="str"/>
      <c r="H30" s="41" t="str"/>
    </row>
    <row r="31">
      <c r="A31" s="41" t="n"/>
      <c r="B31" s="41" t="n"/>
      <c r="C31" s="41" t="n"/>
      <c r="D31" s="16" t="inlineStr">
        <is>
          <t>SWORD &amp; SHIELD / SCARLET &amp; VIOLET AUDIT</t>
        </is>
      </c>
      <c r="E31" s="16" t="str"/>
      <c r="F31" s="16" t="str"/>
      <c r="G31" s="16" t="str"/>
      <c r="H31" s="16" t="str"/>
    </row>
    <row r="32">
      <c r="A32" s="41" t="n"/>
      <c r="B32" s="41" t="n"/>
      <c r="C32" s="41" t="n"/>
      <c r="D32" s="41" t="inlineStr">
        <is>
          <t>Sets/products completed</t>
        </is>
      </c>
      <c r="E32" s="41" t="inlineStr">
        <is>
          <t>Fusion Strike, Paldea Evolved, Temporal Forces, Stellar Crown, Surging Sparks; Eevee Heroes/Start Deck 100; Snow Hazard/Generations Start Deck; Battle Academy; Stellar Tera Starter Set; Start Deck 100 Battle Collection</t>
        </is>
      </c>
      <c r="F32" s="41" t="str"/>
      <c r="G32" s="41" t="str"/>
      <c r="H32" s="41" t="str"/>
    </row>
    <row r="33">
      <c r="A33" s="41" t="n"/>
      <c r="B33" s="41" t="n"/>
      <c r="C33" s="41" t="n"/>
      <c r="D33" s="41" t="inlineStr">
        <is>
          <t>Modern Spanish rule</t>
        </is>
      </c>
      <c r="E33" s="41" t="inlineStr">
        <is>
          <t>Fusion Strike through Surging Sparks family rows audited here are valid Spanish baseline targets; current Ascended Heroes Marill is flagged VERIFY because current card records do not show Spanish.</t>
        </is>
      </c>
      <c r="F33" s="41" t="str"/>
      <c r="G33" s="41" t="str"/>
      <c r="H33" s="41" t="str"/>
    </row>
    <row r="34">
      <c r="A34" s="41" t="n"/>
      <c r="B34" s="41" t="n"/>
      <c r="C34" s="41" t="n"/>
      <c r="D34" s="41" t="inlineStr">
        <is>
          <t>Stamped highlight</t>
        </is>
      </c>
      <c r="E34" s="41" t="inlineStr">
        <is>
          <t>Japanese Battle Academy Marill 013/066 and Azumarill 014/066 are Greninja-stamped physical targets.</t>
        </is>
      </c>
      <c r="F34" s="41" t="str"/>
      <c r="G34" s="41" t="str"/>
      <c r="H34" s="41" t="str"/>
    </row>
    <row r="35">
      <c r="A35" s="41" t="n"/>
      <c r="B35" s="41" t="n"/>
      <c r="C35" s="41" t="n"/>
      <c r="D35" s="41" t="inlineStr">
        <is>
          <t>Deck-print highlight</t>
        </is>
      </c>
      <c r="E35" s="41" t="inlineStr">
        <is>
          <t>Surging Sparks artwork has multiple distinct Japanese numbered product printings, so these remain separate Core targets.</t>
        </is>
      </c>
      <c r="F35" s="41" t="str"/>
      <c r="G35" s="41" t="str"/>
      <c r="H35" s="41" t="str"/>
    </row>
    <row r="36">
      <c r="A36" s="41" t="n"/>
      <c r="B36" s="41" t="n"/>
      <c r="C36" s="41" t="n"/>
      <c r="D36" s="41" t="inlineStr">
        <is>
          <t>Current-era caution</t>
        </is>
      </c>
      <c r="E36" s="41" t="inlineStr">
        <is>
          <t>Ascended Heroes is still moving; Marill Spanish and exact parallel treatments need final confirmation before dataset freeze.</t>
        </is>
      </c>
      <c r="F36" s="41" t="str"/>
      <c r="G36" s="41" t="str"/>
      <c r="H36" s="41" t="str"/>
    </row>
    <row r="37">
      <c r="A37" s="41" t="n"/>
      <c r="B37" s="41" t="n"/>
      <c r="C37" s="41" t="n"/>
      <c r="D37" s="41" t="inlineStr">
        <is>
          <t>Next pass</t>
        </is>
      </c>
      <c r="E37" s="41" t="inlineStr">
        <is>
          <t>Regional exclusives + Prize Pack + older Japanese promos/product oddities, then build the final one-row-per-physical-card dataset.</t>
        </is>
      </c>
      <c r="F37" s="41" t="str"/>
      <c r="G37" s="41" t="str"/>
      <c r="H37" s="41" t="str"/>
    </row>
    <row r="38">
      <c r="A38" s="41" t="n"/>
      <c r="B38" s="41" t="n"/>
      <c r="C38" s="41" t="n"/>
      <c r="D38" s="16" t="inlineStr">
        <is>
          <t>SPECIAL / REGIONAL AUDIT</t>
        </is>
      </c>
      <c r="E38" s="16" t="str"/>
      <c r="F38" s="16" t="str"/>
      <c r="G38" s="16" t="str"/>
      <c r="H38" s="16" t="str"/>
    </row>
    <row r="39">
      <c r="A39" s="41" t="n"/>
      <c r="B39" s="41" t="n"/>
      <c r="C39" s="41" t="n"/>
      <c r="D39" s="41" t="inlineStr">
        <is>
          <t>Vintage promos verified</t>
        </is>
      </c>
      <c r="E39" s="41" t="inlineStr">
        <is>
          <t>CoroCoro Marill, Pokémon Web 010/048, ANA 2000 Marill, Southern Islands EN/JP, Intro Pack Neo, Japanese McDonald's e-Reader</t>
        </is>
      </c>
      <c r="F39" s="41" t="str"/>
      <c r="G39" s="41" t="str"/>
      <c r="H39" s="41" t="str"/>
    </row>
    <row r="40">
      <c r="A40" s="41" t="n"/>
      <c r="B40" s="41" t="n"/>
      <c r="C40" s="41" t="n"/>
      <c r="D40" s="41" t="inlineStr">
        <is>
          <t>Modern specials verified</t>
        </is>
      </c>
      <c r="E40" s="41" t="inlineStr">
        <is>
          <t>McDonald's 2015 English Marill, Everyone's Exciting Battle pair, Prize Pack Series Seven Azumarill</t>
        </is>
      </c>
      <c r="F40" s="41" t="str"/>
      <c r="G40" s="41" t="str"/>
      <c r="H40" s="41" t="str"/>
    </row>
    <row r="41">
      <c r="A41" s="41" t="n"/>
      <c r="B41" s="41" t="n"/>
      <c r="C41" s="41" t="n"/>
      <c r="D41" s="41" t="inlineStr">
        <is>
          <t>Regional verification</t>
        </is>
      </c>
      <c r="E41" s="41" t="inlineStr">
        <is>
          <t>Travel Special Pack 096 and Indonesian Azumarill 214 directly verified; broader Thai/Indonesian/Chinese numbered catalog cross-check completed.</t>
        </is>
      </c>
      <c r="F41" s="41" t="str"/>
      <c r="G41" s="41" t="str"/>
      <c r="H41" s="41" t="str"/>
    </row>
    <row r="42">
      <c r="A42" s="41" t="n"/>
      <c r="B42" s="41" t="n"/>
      <c r="C42" s="41" t="n"/>
      <c r="D42" s="41" t="inlineStr">
        <is>
          <t>Cleanup this pass</t>
        </is>
      </c>
      <c r="E42" s="41" t="inlineStr">
        <is>
          <t>Removed 0 invalid Spanish McDonald's row and 0 exact duplicate Core rows.</t>
        </is>
      </c>
      <c r="F42" s="41" t="str"/>
      <c r="G42" s="41" t="str"/>
      <c r="H42" s="41" t="str"/>
    </row>
    <row r="43">
      <c r="A43" s="41" t="n"/>
      <c r="B43" s="41" t="n"/>
      <c r="C43" s="41" t="n"/>
      <c r="D43" s="41" t="inlineStr">
        <is>
          <t>Working release rows</t>
        </is>
      </c>
      <c r="E43" s="41" t="n">
        <v>163</v>
      </c>
      <c r="F43" s="41" t="str"/>
      <c r="G43" s="41" t="str"/>
      <c r="H43" s="41" t="str"/>
    </row>
    <row r="44">
      <c r="A44" s="41" t="n"/>
      <c r="B44" s="41" t="n"/>
      <c r="C44" s="41" t="n"/>
      <c r="D44" s="41" t="inlineStr">
        <is>
          <t>Next</t>
        </is>
      </c>
      <c r="E44" s="41" t="inlineStr">
        <is>
          <t>Final conversion: expand every VERIFIED finish/edition rule into one row per physical card, preserve unresolved current-era items as VERIFY, and calculate the true Core total.</t>
        </is>
      </c>
      <c r="F44" s="41" t="str"/>
      <c r="G44" s="41" t="str"/>
      <c r="H44" s="41" t="str"/>
    </row>
    <row r="45">
      <c r="A45" s="41" t="n"/>
      <c r="B45" s="41" t="n"/>
      <c r="C45" s="41" t="n"/>
      <c r="D45" s="16" t="inlineStr">
        <is>
          <t>PHYSICAL CONVERSION PASS</t>
        </is>
      </c>
      <c r="E45" s="16" t="str"/>
      <c r="F45" s="16" t="str"/>
      <c r="G45" s="16" t="str"/>
      <c r="H45" s="16" t="str"/>
    </row>
    <row r="46">
      <c r="A46" s="41" t="n"/>
      <c r="B46" s="41" t="n"/>
      <c r="C46" s="41" t="n"/>
      <c r="D46" s="41" t="inlineStr">
        <is>
          <t>Release rows converted</t>
        </is>
      </c>
      <c r="E46" s="41" t="n">
        <v>163</v>
      </c>
      <c r="F46" s="41" t="str"/>
      <c r="G46" s="41" t="str"/>
      <c r="H46" s="41" t="str"/>
    </row>
    <row r="47">
      <c r="A47" s="41" t="n"/>
      <c r="B47" s="41" t="n"/>
      <c r="C47" s="41" t="n"/>
      <c r="D47" s="41" t="inlineStr">
        <is>
          <t>Physical targets produced</t>
        </is>
      </c>
      <c r="E47" s="41" t="n">
        <v>253</v>
      </c>
      <c r="F47" s="41" t="str"/>
      <c r="G47" s="41" t="str"/>
      <c r="H47" s="41" t="str"/>
    </row>
    <row r="48">
      <c r="A48" s="41" t="n"/>
      <c r="B48" s="41" t="n"/>
      <c r="C48" s="41" t="n"/>
      <c r="D48" s="41" t="inlineStr">
        <is>
          <t>Required now</t>
        </is>
      </c>
      <c r="E48" s="41" t="n">
        <v>251</v>
      </c>
      <c r="F48" s="41" t="str"/>
      <c r="G48" s="41" t="str"/>
      <c r="H48" s="41" t="str"/>
    </row>
    <row r="49">
      <c r="A49" s="41" t="n"/>
      <c r="B49" s="41" t="n"/>
      <c r="C49" s="41" t="n"/>
      <c r="D49" s="41" t="inlineStr">
        <is>
          <t>Held in VERIFY</t>
        </is>
      </c>
      <c r="E49" s="41" t="n">
        <v>2</v>
      </c>
      <c r="F49" s="41" t="str"/>
      <c r="G49" s="41" t="str"/>
      <c r="H49" s="41" t="str"/>
    </row>
    <row r="50">
      <c r="A50" s="41" t="n"/>
      <c r="B50" s="41" t="n"/>
      <c r="C50" s="41" t="n"/>
      <c r="D50" s="41" t="inlineStr">
        <is>
          <t>Species required</t>
        </is>
      </c>
      <c r="E50" s="41" t="inlineStr">
        <is>
          <t>Azurill 20 | Marill 118 | Azumarill 113</t>
        </is>
      </c>
      <c r="F50" s="41" t="str"/>
      <c r="G50" s="41" t="str"/>
      <c r="H50" s="41" t="str"/>
    </row>
    <row r="51">
      <c r="A51" s="41" t="n"/>
      <c r="B51" s="41" t="n"/>
      <c r="C51" s="41" t="n"/>
      <c r="D51" s="41" t="inlineStr">
        <is>
          <t>Language required</t>
        </is>
      </c>
      <c r="E51" s="41" t="inlineStr">
        <is>
          <t>English 96 | Japanese 82 | Spanish 57 | Regional 16</t>
        </is>
      </c>
      <c r="F51" s="41" t="str"/>
      <c r="G51" s="41" t="str"/>
      <c r="H51" s="41" t="str"/>
    </row>
    <row r="52">
      <c r="A52" s="41" t="n"/>
      <c r="B52" s="41" t="n"/>
      <c r="C52" s="41" t="n"/>
      <c r="D52" s="41" t="inlineStr">
        <is>
          <t>Next pass</t>
        </is>
      </c>
      <c r="E52" s="41" t="inlineStr">
        <is>
          <t>Gap/duplicate verification. This 251-required figure is the first physical-card count, not yet the frozen final count.</t>
        </is>
      </c>
      <c r="F52" s="41" t="str"/>
      <c r="G52" s="41" t="str"/>
      <c r="H52" s="41" t="str"/>
    </row>
    <row r="53">
      <c r="A53" s="41" t="n"/>
      <c r="B53" s="41" t="n"/>
      <c r="C53" s="41" t="n"/>
      <c r="D53" s="114" t="inlineStr">
        <is>
          <t>DATASET FROZEN</t>
        </is>
      </c>
      <c r="E53" s="114" t="str"/>
      <c r="F53" s="114" t="str"/>
      <c r="G53" s="114" t="str"/>
      <c r="H53" s="114" t="str"/>
    </row>
    <row r="54">
      <c r="A54" s="41" t="n"/>
      <c r="B54" s="41" t="n"/>
      <c r="C54" s="41" t="n"/>
      <c r="D54" s="41" t="inlineStr">
        <is>
          <t>Version</t>
        </is>
      </c>
      <c r="E54" s="41" t="inlineStr">
        <is>
          <t>AZF-2026-08-10-v1</t>
        </is>
      </c>
      <c r="F54" s="41" t="str"/>
      <c r="G54" s="41" t="str"/>
      <c r="H54" s="41" t="str"/>
    </row>
    <row r="55">
      <c r="A55" s="41" t="n"/>
      <c r="B55" s="41" t="n"/>
      <c r="C55" s="41" t="n"/>
      <c r="D55" s="41" t="inlineStr">
        <is>
          <t>Required physical cards</t>
        </is>
      </c>
      <c r="E55" s="41" t="n">
        <v>257</v>
      </c>
      <c r="F55" s="41" t="str"/>
      <c r="G55" s="41" t="str"/>
      <c r="H55" s="41" t="str"/>
    </row>
    <row r="56">
      <c r="A56" s="41" t="n"/>
      <c r="B56" s="41" t="n"/>
      <c r="C56" s="41" t="n"/>
      <c r="D56" s="41" t="inlineStr">
        <is>
          <t>Unresolved VERIFY</t>
        </is>
      </c>
      <c r="E56" s="41" t="n">
        <v>0</v>
      </c>
      <c r="F56" s="41" t="str"/>
      <c r="G56" s="41" t="str"/>
      <c r="H56" s="41" t="str"/>
    </row>
    <row r="57">
      <c r="A57" s="41" t="n"/>
      <c r="B57" s="41" t="n"/>
      <c r="C57" s="41" t="n"/>
      <c r="D57" s="41" t="inlineStr">
        <is>
          <t>Duplicate StableKeys</t>
        </is>
      </c>
      <c r="E57" s="41" t="n">
        <v>0</v>
      </c>
      <c r="F57" s="41" t="str"/>
      <c r="G57" s="41" t="str"/>
      <c r="H57" s="41" t="str"/>
    </row>
    <row r="58">
      <c r="A58" s="41" t="n"/>
      <c r="B58" s="41" t="n"/>
      <c r="C58" s="41" t="n"/>
      <c r="D58" s="41" t="inlineStr">
        <is>
          <t>Future releases</t>
        </is>
      </c>
      <c r="E58" s="41" t="inlineStr">
        <is>
          <t>Append new IDs after AZF-257. Never renumber existing cards.</t>
        </is>
      </c>
      <c r="F58" s="41" t="str"/>
      <c r="G58" s="41" t="str"/>
      <c r="H58" s="41" t="str"/>
    </row>
    <row r="59">
      <c r="A59" s="41" t="n"/>
      <c r="B59" s="41" t="n"/>
      <c r="C59" s="41" t="n"/>
      <c r="D59" s="41" t="inlineStr">
        <is>
          <t>Tracker source</t>
        </is>
      </c>
      <c r="E59" s="41" t="inlineStr">
        <is>
          <t>Core Checklist only. Audit tabs are research history, not app data.</t>
        </is>
      </c>
      <c r="F59" s="41" t="str"/>
      <c r="G59" s="41" t="str"/>
      <c r="H59" s="41" t="str"/>
    </row>
    <row r="60">
      <c r="A60" s="41" t="n"/>
      <c r="B60" s="41" t="n"/>
      <c r="C60" s="41" t="n"/>
      <c r="D60" s="41" t="inlineStr">
        <is>
          <t>Next action</t>
        </is>
      </c>
      <c r="E60" s="41" t="inlineStr">
        <is>
          <t>Use Tracker Handoff + Core Checklist to update the phone tracker.</t>
        </is>
      </c>
      <c r="F60" s="41" t="str"/>
      <c r="G60" s="41" t="str"/>
      <c r="H60" s="41" t="str"/>
    </row>
  </sheetData>
  <mergeCells count="2">
    <mergeCell ref="A11:H1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2" customWidth="1" style="37" min="2" max="2"/>
    <col width="18" customWidth="1" style="37" min="3" max="3"/>
    <col width="26" customWidth="1" style="37" min="4" max="4"/>
    <col width="12" customWidth="1" style="37" min="5" max="5"/>
    <col width="30" customWidth="1" style="37" min="6" max="6"/>
    <col width="12" customWidth="1" style="37" min="7" max="7"/>
    <col width="16" customWidth="1" style="37" min="8" max="8"/>
    <col width="22" customWidth="1" style="37" min="9" max="9"/>
    <col width="30" customWidth="1" style="37" min="10" max="10"/>
    <col width="18" customWidth="1" style="37" min="11" max="11"/>
    <col width="25" customWidth="1" style="37" min="12" max="12"/>
    <col width="48" customWidth="1" style="37" min="13" max="13"/>
    <col width="22" customWidth="1" style="37" min="14" max="14"/>
    <col width="12" customWidth="1" style="37" min="15" max="15"/>
    <col width="10" customWidth="1" style="37" min="16" max="16"/>
    <col width="12" customWidth="1" style="37" min="17" max="17"/>
    <col width="28" customWidth="1" style="37" min="18" max="18"/>
    <col width="42" customWidth="1" style="37" min="19" max="19"/>
  </cols>
  <sheetData>
    <row r="1" ht="34" customHeight="1" s="37">
      <c r="A1" s="54" t="inlineStr">
        <is>
          <t>ID</t>
        </is>
      </c>
      <c r="B1" s="54" t="inlineStr">
        <is>
          <t>Species</t>
        </is>
      </c>
      <c r="C1" s="54" t="inlineStr">
        <is>
          <t>Card Name</t>
        </is>
      </c>
      <c r="D1" s="54" t="inlineStr">
        <is>
          <t>English Set / Product</t>
        </is>
      </c>
      <c r="E1" s="54" t="inlineStr">
        <is>
          <t>English #</t>
        </is>
      </c>
      <c r="F1" s="54" t="inlineStr">
        <is>
          <t>Japanese Set / Product</t>
        </is>
      </c>
      <c r="G1" s="54" t="inlineStr">
        <is>
          <t>Japanese #</t>
        </is>
      </c>
      <c r="H1" s="54" t="inlineStr">
        <is>
          <t>Era</t>
        </is>
      </c>
      <c r="I1" s="54" t="inlineStr">
        <is>
          <t>Release Type</t>
        </is>
      </c>
      <c r="J1" s="54" t="inlineStr">
        <is>
          <t>Fun Tags</t>
        </is>
      </c>
      <c r="K1" s="54" t="inlineStr">
        <is>
          <t>Artist</t>
        </is>
      </c>
      <c r="L1" s="54" t="inlineStr">
        <is>
          <t>Pack Status</t>
        </is>
      </c>
      <c r="M1" s="54" t="inlineStr">
        <is>
          <t>How to Get It</t>
        </is>
      </c>
      <c r="N1" s="54" t="inlineStr">
        <is>
          <t>Level 3 Variant Audit</t>
        </is>
      </c>
      <c r="O1" s="54" t="inlineStr">
        <is>
          <t>Status</t>
        </is>
      </c>
      <c r="P1" s="54" t="inlineStr">
        <is>
          <t>Qty Owned</t>
        </is>
      </c>
      <c r="Q1" s="54" t="inlineStr">
        <is>
          <t>Price Paid</t>
        </is>
      </c>
      <c r="R1" s="54" t="inlineStr">
        <is>
          <t>Notes</t>
        </is>
      </c>
      <c r="S1" s="54" t="inlineStr">
        <is>
          <t>Source URL</t>
        </is>
      </c>
    </row>
    <row r="2">
      <c r="A2" s="26" t="n">
        <v>1</v>
      </c>
      <c r="B2" s="26" t="inlineStr">
        <is>
          <t>Azurill</t>
        </is>
      </c>
      <c r="C2" s="26" t="inlineStr">
        <is>
          <t>Azurill</t>
        </is>
      </c>
      <c r="D2" s="26" t="inlineStr">
        <is>
          <t>EX Sandstorm</t>
        </is>
      </c>
      <c r="E2" s="26" t="inlineStr">
        <is>
          <t>31/100</t>
        </is>
      </c>
      <c r="F2" s="26" t="inlineStr">
        <is>
          <t>Miracle of the Desert</t>
        </is>
      </c>
      <c r="G2" s="26" t="inlineStr">
        <is>
          <t>041/053</t>
        </is>
      </c>
      <c r="H2" s="26" t="inlineStr">
        <is>
          <t>EX era</t>
        </is>
      </c>
      <c r="I2" s="26" t="inlineStr">
        <is>
          <t>Set card</t>
        </is>
      </c>
      <c r="J2" s="26" t="str"/>
      <c r="K2" s="26" t="str"/>
      <c r="L2" s="26" t="inlineStr">
        <is>
          <t>Out of print</t>
        </is>
      </c>
      <c r="M2" s="26" t="inlineStr">
        <is>
          <t>Buy as a single. Search by set + card number; Japanese counterpart is usually easiest via eBay or Japanese marketplace/proxy.</t>
        </is>
      </c>
      <c r="N2" s="26" t="inlineStr">
        <is>
          <t>Needs Level 3 audit</t>
        </is>
      </c>
      <c r="O2" s="26" t="inlineStr">
        <is>
          <t>NEED</t>
        </is>
      </c>
      <c r="P2" s="26" t="str"/>
      <c r="Q2" s="26" t="str"/>
      <c r="R2" s="26" t="str"/>
      <c r="S2" s="26" t="inlineStr">
        <is>
          <t>https://bulbapedia.bulbagarden.net/wiki/Azurill_(TCG)</t>
        </is>
      </c>
    </row>
    <row r="3">
      <c r="A3" s="26" t="n">
        <v>2</v>
      </c>
      <c r="B3" s="26" t="inlineStr">
        <is>
          <t>Azurill</t>
        </is>
      </c>
      <c r="C3" s="26" t="inlineStr">
        <is>
          <t>Azurill</t>
        </is>
      </c>
      <c r="D3" s="26" t="inlineStr">
        <is>
          <t>EX Delta Species</t>
        </is>
      </c>
      <c r="E3" s="26" t="inlineStr">
        <is>
          <t>20/113</t>
        </is>
      </c>
      <c r="F3" s="26" t="inlineStr">
        <is>
          <t>Holon Research Tower</t>
        </is>
      </c>
      <c r="G3" s="26" t="inlineStr">
        <is>
          <t>066/086</t>
        </is>
      </c>
      <c r="H3" s="26" t="inlineStr">
        <is>
          <t>EX era</t>
        </is>
      </c>
      <c r="I3" s="26" t="inlineStr">
        <is>
          <t>Set card</t>
        </is>
      </c>
      <c r="J3" s="26" t="str"/>
      <c r="K3" s="26" t="str"/>
      <c r="L3" s="26" t="inlineStr">
        <is>
          <t>Out of print</t>
        </is>
      </c>
      <c r="M3" s="26" t="inlineStr">
        <is>
          <t>Buy as a single. For older EX-era cards, compare condition photos closely and search English/Japanese separately.</t>
        </is>
      </c>
      <c r="N3" s="26" t="inlineStr">
        <is>
          <t>Needs Level 3 audit</t>
        </is>
      </c>
      <c r="O3" s="26" t="inlineStr">
        <is>
          <t>NEED</t>
        </is>
      </c>
      <c r="P3" s="26" t="str"/>
      <c r="Q3" s="26" t="str"/>
      <c r="R3" s="26" t="str"/>
      <c r="S3" s="26" t="inlineStr">
        <is>
          <t>https://bulbapedia.bulbagarden.net/wiki/Azurill_(TCG)</t>
        </is>
      </c>
    </row>
    <row r="4">
      <c r="A4" s="26" t="n">
        <v>3</v>
      </c>
      <c r="B4" s="26" t="inlineStr">
        <is>
          <t>Azurill</t>
        </is>
      </c>
      <c r="C4" s="26" t="inlineStr">
        <is>
          <t>Azurill</t>
        </is>
      </c>
      <c r="D4" s="26" t="inlineStr">
        <is>
          <t>Diamond &amp; Pearl</t>
        </is>
      </c>
      <c r="E4" s="26" t="inlineStr">
        <is>
          <t>69/130</t>
        </is>
      </c>
      <c r="F4" s="26" t="inlineStr">
        <is>
          <t>Space-Time Creation</t>
        </is>
      </c>
      <c r="G4" s="26" t="str"/>
      <c r="H4" s="26" t="inlineStr">
        <is>
          <t>Diamond &amp; Pearl</t>
        </is>
      </c>
      <c r="I4" s="26" t="inlineStr">
        <is>
          <t>Set card</t>
        </is>
      </c>
      <c r="J4" s="26" t="str"/>
      <c r="K4" s="26" t="str"/>
      <c r="L4" s="26" t="inlineStr">
        <is>
          <t>Out of print</t>
        </is>
      </c>
      <c r="M4" s="26" t="inlineStr">
        <is>
          <t>Buy as a single. Use TCGplayer for English; eBay/Cardmarket for foreign-language copies.</t>
        </is>
      </c>
      <c r="N4" s="26" t="inlineStr">
        <is>
          <t>Needs Level 3 audit</t>
        </is>
      </c>
      <c r="O4" s="26" t="inlineStr">
        <is>
          <t>NEED</t>
        </is>
      </c>
      <c r="P4" s="26" t="str"/>
      <c r="Q4" s="26" t="str"/>
      <c r="R4" s="26" t="str"/>
      <c r="S4" s="26" t="inlineStr">
        <is>
          <t>https://bulbapedia.bulbagarden.net/wiki/Azurill_(TCG)</t>
        </is>
      </c>
    </row>
    <row r="5">
      <c r="A5" s="26" t="n">
        <v>4</v>
      </c>
      <c r="B5" s="26" t="inlineStr">
        <is>
          <t>Azurill</t>
        </is>
      </c>
      <c r="C5" s="26" t="inlineStr">
        <is>
          <t>Azurill</t>
        </is>
      </c>
      <c r="D5" s="26" t="inlineStr">
        <is>
          <t>Cosmic Eclipse</t>
        </is>
      </c>
      <c r="E5" s="26" t="inlineStr">
        <is>
          <t>146/236</t>
        </is>
      </c>
      <c r="F5" s="26" t="inlineStr">
        <is>
          <t>Alter Genesis</t>
        </is>
      </c>
      <c r="G5" s="26" t="inlineStr">
        <is>
          <t>057/095</t>
        </is>
      </c>
      <c r="H5" s="26" t="inlineStr">
        <is>
          <t>Sun &amp; Moon</t>
        </is>
      </c>
      <c r="I5" s="26" t="inlineStr">
        <is>
          <t>Asako Ito</t>
        </is>
      </c>
      <c r="J5" s="26" t="inlineStr">
        <is>
          <t>Artist card</t>
        </is>
      </c>
      <c r="K5" s="26" t="inlineStr">
        <is>
          <t>Asako Ito</t>
        </is>
      </c>
      <c r="L5" s="26" t="inlineStr">
        <is>
          <t>Out of print</t>
        </is>
      </c>
      <c r="M5" s="26" t="inlineStr">
        <is>
          <t>Buy singles rather than opening Cosmic Eclipse. Search regular + reverse-holo separately, then audit each language.</t>
        </is>
      </c>
      <c r="N5" s="26" t="inlineStr">
        <is>
          <t>Needs Level 3 audit</t>
        </is>
      </c>
      <c r="O5" s="26" t="inlineStr">
        <is>
          <t>NEED</t>
        </is>
      </c>
      <c r="P5" s="26" t="str"/>
      <c r="Q5" s="26" t="str"/>
      <c r="R5" s="26" t="str"/>
      <c r="S5" s="26" t="inlineStr">
        <is>
          <t>https://bulbapedia.bulbagarden.net/wiki/Azurill_(TCG)</t>
        </is>
      </c>
    </row>
    <row r="6">
      <c r="A6" s="26" t="n">
        <v>5</v>
      </c>
      <c r="B6" s="26" t="inlineStr">
        <is>
          <t>Azurill</t>
        </is>
      </c>
      <c r="C6" s="26" t="inlineStr">
        <is>
          <t>Azurill</t>
        </is>
      </c>
      <c r="D6" s="26" t="str"/>
      <c r="E6" s="26" t="str"/>
      <c r="F6" s="26" t="inlineStr">
        <is>
          <t>Storm Emeralda</t>
        </is>
      </c>
      <c r="G6" s="26" t="inlineStr">
        <is>
          <t>054/076</t>
        </is>
      </c>
      <c r="H6" s="26" t="inlineStr">
        <is>
          <t>Japanese exclusive</t>
        </is>
      </c>
      <c r="I6" s="26" t="inlineStr">
        <is>
          <t>Regional/Japanese exclusive</t>
        </is>
      </c>
      <c r="J6" s="26" t="inlineStr">
        <is>
          <t>Japanese-only release</t>
        </is>
      </c>
      <c r="K6" s="26" t="str"/>
      <c r="L6" s="26" t="inlineStr">
        <is>
          <t>Out of print</t>
        </is>
      </c>
      <c r="M6" s="26" t="inlineStr">
        <is>
          <t>Japanese single only. Search exact Japanese set/card number on eBay, Mercari Japan/Yahoo Japan through a proxy, or specialist sellers.</t>
        </is>
      </c>
      <c r="N6" s="26" t="inlineStr">
        <is>
          <t>Needs Level 3 audit</t>
        </is>
      </c>
      <c r="O6" s="26" t="inlineStr">
        <is>
          <t>NEED</t>
        </is>
      </c>
      <c r="P6" s="26" t="str"/>
      <c r="Q6" s="26" t="str"/>
      <c r="R6" s="26" t="str"/>
      <c r="S6" s="26" t="inlineStr">
        <is>
          <t>https://bulbapedia.bulbagarden.net/wiki/Azurill_(TCG)</t>
        </is>
      </c>
    </row>
    <row r="7">
      <c r="A7" s="26" t="n">
        <v>6</v>
      </c>
      <c r="B7" s="26" t="inlineStr">
        <is>
          <t>Marill</t>
        </is>
      </c>
      <c r="C7" s="26" t="inlineStr">
        <is>
          <t>Marill</t>
        </is>
      </c>
      <c r="D7" s="26" t="inlineStr">
        <is>
          <t>Wizards Black Star Promos</t>
        </is>
      </c>
      <c r="E7" s="26" t="inlineStr">
        <is>
          <t>29</t>
        </is>
      </c>
      <c r="F7" s="26" t="inlineStr">
        <is>
          <t>Unnumbered Promotional cards</t>
        </is>
      </c>
      <c r="G7" s="26" t="str"/>
      <c r="H7" s="26" t="inlineStr">
        <is>
          <t>Wizards</t>
        </is>
      </c>
      <c r="I7" s="26" t="inlineStr">
        <is>
          <t>Promo</t>
        </is>
      </c>
      <c r="J7" s="26" t="inlineStr">
        <is>
          <t>Wizards promo / Japanese promo</t>
        </is>
      </c>
      <c r="K7" s="26" t="str"/>
      <c r="L7" s="26" t="inlineStr">
        <is>
          <t>Out of print</t>
        </is>
      </c>
      <c r="M7" s="26" t="inlineStr">
        <is>
          <t>Buy as a single. Search exact set + number. For Japanese/promos, use eBay or a Japanese marketplace/proxy; for European languages, Cardmarket is useful.</t>
        </is>
      </c>
      <c r="N7" s="26" t="inlineStr">
        <is>
          <t>Needs Level 3 audit</t>
        </is>
      </c>
      <c r="O7" s="26" t="inlineStr">
        <is>
          <t>NEED</t>
        </is>
      </c>
      <c r="P7" s="26" t="str"/>
      <c r="Q7" s="26" t="str"/>
      <c r="R7" s="26" t="str"/>
      <c r="S7" s="26" t="inlineStr">
        <is>
          <t>https://bulbapedia.bulbagarden.net/wiki/Marill_(TCG)</t>
        </is>
      </c>
    </row>
    <row r="8">
      <c r="A8" s="26" t="n">
        <v>7</v>
      </c>
      <c r="B8" s="26" t="inlineStr">
        <is>
          <t>Marill</t>
        </is>
      </c>
      <c r="C8" s="26" t="inlineStr">
        <is>
          <t>Marill</t>
        </is>
      </c>
      <c r="D8" s="26" t="inlineStr">
        <is>
          <t>Neo Genesis</t>
        </is>
      </c>
      <c r="E8" s="26" t="inlineStr">
        <is>
          <t>66/111</t>
        </is>
      </c>
      <c r="F8" s="26" t="inlineStr">
        <is>
          <t>Gold, Silver, to a New World...</t>
        </is>
      </c>
      <c r="G8" s="26" t="str"/>
      <c r="H8" s="26" t="inlineStr">
        <is>
          <t>Neo</t>
        </is>
      </c>
      <c r="I8" s="26" t="inlineStr">
        <is>
          <t>Set card</t>
        </is>
      </c>
      <c r="J8" s="26" t="str"/>
      <c r="K8" s="26" t="str"/>
      <c r="L8" s="26" t="inlineStr">
        <is>
          <t>Out of print</t>
        </is>
      </c>
      <c r="M8" s="26" t="inlineStr">
        <is>
          <t>Buy as a single. Search exact set + number. For Japanese/promos, use eBay or a Japanese marketplace/proxy; for European languages, Cardmarket is useful.</t>
        </is>
      </c>
      <c r="N8" s="26" t="inlineStr">
        <is>
          <t>Needs Level 3 audit</t>
        </is>
      </c>
      <c r="O8" s="26" t="inlineStr">
        <is>
          <t>NEED</t>
        </is>
      </c>
      <c r="P8" s="26" t="str"/>
      <c r="Q8" s="26" t="str"/>
      <c r="R8" s="26" t="str"/>
      <c r="S8" s="26" t="inlineStr">
        <is>
          <t>https://bulbapedia.bulbagarden.net/wiki/Marill_(TCG)</t>
        </is>
      </c>
    </row>
    <row r="9">
      <c r="A9" s="26" t="n">
        <v>8</v>
      </c>
      <c r="B9" s="26" t="inlineStr">
        <is>
          <t>Marill</t>
        </is>
      </c>
      <c r="C9" s="26" t="inlineStr">
        <is>
          <t>Marill</t>
        </is>
      </c>
      <c r="D9" s="26" t="inlineStr">
        <is>
          <t>Southern Islands</t>
        </is>
      </c>
      <c r="E9" s="26" t="inlineStr">
        <is>
          <t>11/18</t>
        </is>
      </c>
      <c r="F9" s="26" t="inlineStr">
        <is>
          <t>Southern Islands</t>
        </is>
      </c>
      <c r="G9" s="26" t="str"/>
      <c r="H9" s="26" t="inlineStr">
        <is>
          <t>Wizards</t>
        </is>
      </c>
      <c r="I9" s="26" t="inlineStr">
        <is>
          <t>Special set</t>
        </is>
      </c>
      <c r="J9" s="26" t="inlineStr">
        <is>
          <t>Southern Islands</t>
        </is>
      </c>
      <c r="K9" s="26" t="str"/>
      <c r="L9" s="26" t="inlineStr">
        <is>
          <t>Out of print</t>
        </is>
      </c>
      <c r="M9" s="26" t="inlineStr">
        <is>
          <t>Buy as a single. Search exact set + number. For Japanese/promos, use eBay or a Japanese marketplace/proxy; for European languages, Cardmarket is useful.</t>
        </is>
      </c>
      <c r="N9" s="26" t="inlineStr">
        <is>
          <t>Needs Level 3 audit</t>
        </is>
      </c>
      <c r="O9" s="26" t="inlineStr">
        <is>
          <t>NEED</t>
        </is>
      </c>
      <c r="P9" s="26" t="str"/>
      <c r="Q9" s="26" t="str"/>
      <c r="R9" s="26" t="str"/>
      <c r="S9" s="26" t="inlineStr">
        <is>
          <t>https://bulbapedia.bulbagarden.net/wiki/Marill_(TCG)</t>
        </is>
      </c>
    </row>
    <row r="10">
      <c r="A10" s="26" t="n">
        <v>9</v>
      </c>
      <c r="B10" s="26" t="inlineStr">
        <is>
          <t>Marill</t>
        </is>
      </c>
      <c r="C10" s="26" t="inlineStr">
        <is>
          <t>Marill</t>
        </is>
      </c>
      <c r="D10" s="26" t="str"/>
      <c r="E10" s="26" t="str"/>
      <c r="F10" s="26" t="inlineStr">
        <is>
          <t>Unnumbered Promotional cards</t>
        </is>
      </c>
      <c r="G10" s="26" t="str"/>
      <c r="H10" s="26" t="inlineStr">
        <is>
          <t>Japanese promo</t>
        </is>
      </c>
      <c r="I10" s="26" t="inlineStr">
        <is>
          <t>Promo</t>
        </is>
      </c>
      <c r="J10" s="26" t="inlineStr">
        <is>
          <t>ANA / Japanese unnumbered promo - verify exact printing in Level 3 audit</t>
        </is>
      </c>
      <c r="K10" s="26" t="str"/>
      <c r="L10" s="26" t="inlineStr">
        <is>
          <t>Out of print</t>
        </is>
      </c>
      <c r="M10" s="26" t="inlineStr">
        <is>
          <t>Buy as a single. Search exact set + number. For Japanese/promos, use eBay or a Japanese marketplace/proxy; for European languages, Cardmarket is useful.</t>
        </is>
      </c>
      <c r="N10" s="26" t="inlineStr">
        <is>
          <t>Needs Level 3 audit</t>
        </is>
      </c>
      <c r="O10" s="26" t="inlineStr">
        <is>
          <t>NEED</t>
        </is>
      </c>
      <c r="P10" s="26" t="str"/>
      <c r="Q10" s="26" t="str"/>
      <c r="R10" s="26" t="str"/>
      <c r="S10" s="26" t="inlineStr">
        <is>
          <t>https://bulbapedia.bulbagarden.net/wiki/Marill_(TCG)</t>
        </is>
      </c>
    </row>
    <row r="11">
      <c r="A11" s="26" t="n">
        <v>10</v>
      </c>
      <c r="B11" s="26" t="inlineStr">
        <is>
          <t>Marill</t>
        </is>
      </c>
      <c r="C11" s="26" t="inlineStr">
        <is>
          <t>Marill</t>
        </is>
      </c>
      <c r="D11" s="26" t="str"/>
      <c r="E11" s="26" t="str"/>
      <c r="F11" s="26" t="inlineStr">
        <is>
          <t>Totodile Half Deck</t>
        </is>
      </c>
      <c r="G11" s="26" t="inlineStr">
        <is>
          <t>2</t>
        </is>
      </c>
      <c r="H11" s="26" t="inlineStr">
        <is>
          <t>e-Card</t>
        </is>
      </c>
      <c r="I11" s="26" t="inlineStr">
        <is>
          <t>Deck exclusive</t>
        </is>
      </c>
      <c r="J11" s="26" t="inlineStr">
        <is>
          <t>Japanese deck exclusive</t>
        </is>
      </c>
      <c r="K11" s="26" t="str"/>
      <c r="L11" s="26" t="inlineStr">
        <is>
          <t>Out of print</t>
        </is>
      </c>
      <c r="M11" s="26" t="inlineStr">
        <is>
          <t>Buy as a single. Search exact set + number. For Japanese/promos, use eBay or a Japanese marketplace/proxy; for European languages, Cardmarket is useful.</t>
        </is>
      </c>
      <c r="N11" s="26" t="inlineStr">
        <is>
          <t>Needs Level 3 audit</t>
        </is>
      </c>
      <c r="O11" s="26" t="inlineStr">
        <is>
          <t>NEED</t>
        </is>
      </c>
      <c r="P11" s="26" t="str"/>
      <c r="Q11" s="26" t="str"/>
      <c r="R11" s="26" t="str"/>
      <c r="S11" s="26" t="inlineStr">
        <is>
          <t>https://bulbapedia.bulbagarden.net/wiki/Marill_(TCG)</t>
        </is>
      </c>
    </row>
    <row r="12">
      <c r="A12" s="26" t="n">
        <v>11</v>
      </c>
      <c r="B12" s="26" t="inlineStr">
        <is>
          <t>Marill</t>
        </is>
      </c>
      <c r="C12" s="26" t="inlineStr">
        <is>
          <t>Marill</t>
        </is>
      </c>
      <c r="D12" s="26" t="inlineStr">
        <is>
          <t>Expedition Base Set</t>
        </is>
      </c>
      <c r="E12" s="26" t="inlineStr">
        <is>
          <t>120/165</t>
        </is>
      </c>
      <c r="F12" s="26" t="inlineStr">
        <is>
          <t>Base Expansion Pack</t>
        </is>
      </c>
      <c r="G12" s="26" t="inlineStr">
        <is>
          <t>013/128</t>
        </is>
      </c>
      <c r="H12" s="26" t="inlineStr">
        <is>
          <t>e-Card</t>
        </is>
      </c>
      <c r="I12" s="26" t="inlineStr">
        <is>
          <t>Set card</t>
        </is>
      </c>
      <c r="J12" s="26" t="inlineStr">
        <is>
          <t>e-Reader era</t>
        </is>
      </c>
      <c r="K12" s="26" t="str"/>
      <c r="L12" s="26" t="inlineStr">
        <is>
          <t>Out of print</t>
        </is>
      </c>
      <c r="M12" s="26" t="inlineStr">
        <is>
          <t>Buy as a single. Search exact set + number. For Japanese/promos, use eBay or a Japanese marketplace/proxy; for European languages, Cardmarket is useful.</t>
        </is>
      </c>
      <c r="N12" s="26" t="inlineStr">
        <is>
          <t>Needs Level 3 audit</t>
        </is>
      </c>
      <c r="O12" s="26" t="inlineStr">
        <is>
          <t>NEED</t>
        </is>
      </c>
      <c r="P12" s="26" t="str"/>
      <c r="Q12" s="26" t="str"/>
      <c r="R12" s="26" t="str"/>
      <c r="S12" s="26" t="inlineStr">
        <is>
          <t>https://bulbapedia.bulbagarden.net/wiki/Marill_(TCG)</t>
        </is>
      </c>
    </row>
    <row r="13">
      <c r="A13" s="26" t="n">
        <v>12</v>
      </c>
      <c r="B13" s="26" t="inlineStr">
        <is>
          <t>Marill</t>
        </is>
      </c>
      <c r="C13" s="26" t="inlineStr">
        <is>
          <t>Marill</t>
        </is>
      </c>
      <c r="D13" s="26" t="str"/>
      <c r="E13" s="26" t="str"/>
      <c r="F13" s="26" t="inlineStr">
        <is>
          <t>McDonald's Pokémon-e Minimum Pack</t>
        </is>
      </c>
      <c r="G13" s="26" t="inlineStr">
        <is>
          <t>009/018</t>
        </is>
      </c>
      <c r="H13" s="26" t="inlineStr">
        <is>
          <t>e-Card</t>
        </is>
      </c>
      <c r="I13" s="26" t="inlineStr">
        <is>
          <t>Food promo</t>
        </is>
      </c>
      <c r="J13" s="26" t="inlineStr">
        <is>
          <t>McDonald's Japan / e-Card</t>
        </is>
      </c>
      <c r="K13" s="26" t="str"/>
      <c r="L13" s="26" t="inlineStr">
        <is>
          <t>Out of print</t>
        </is>
      </c>
      <c r="M13" s="26" t="inlineStr">
        <is>
          <t>Buy as a single. Search exact set + number. For Japanese/promos, use eBay or a Japanese marketplace/proxy; for European languages, Cardmarket is useful.</t>
        </is>
      </c>
      <c r="N13" s="26" t="inlineStr">
        <is>
          <t>Needs Level 3 audit</t>
        </is>
      </c>
      <c r="O13" s="26" t="inlineStr">
        <is>
          <t>NEED</t>
        </is>
      </c>
      <c r="P13" s="26" t="str"/>
      <c r="Q13" s="26" t="str"/>
      <c r="R13" s="26" t="str"/>
      <c r="S13" s="26" t="inlineStr">
        <is>
          <t>https://bulbapedia.bulbagarden.net/wiki/Marill_(TCG)</t>
        </is>
      </c>
    </row>
    <row r="14">
      <c r="A14" s="26" t="n">
        <v>13</v>
      </c>
      <c r="B14" s="26" t="inlineStr">
        <is>
          <t>Marill</t>
        </is>
      </c>
      <c r="C14" s="26" t="inlineStr">
        <is>
          <t>Marill</t>
        </is>
      </c>
      <c r="D14" s="26" t="inlineStr">
        <is>
          <t>Aquapolis</t>
        </is>
      </c>
      <c r="E14" s="26" t="inlineStr">
        <is>
          <t>53/147</t>
        </is>
      </c>
      <c r="F14" s="26" t="inlineStr">
        <is>
          <t>The Town on No Map</t>
        </is>
      </c>
      <c r="G14" s="26" t="inlineStr">
        <is>
          <t>024/092</t>
        </is>
      </c>
      <c r="H14" s="26" t="inlineStr">
        <is>
          <t>e-Card</t>
        </is>
      </c>
      <c r="I14" s="26" t="inlineStr">
        <is>
          <t>Set card</t>
        </is>
      </c>
      <c r="J14" s="26" t="inlineStr">
        <is>
          <t>e-Reader era</t>
        </is>
      </c>
      <c r="K14" s="26" t="str"/>
      <c r="L14" s="26" t="inlineStr">
        <is>
          <t>Out of print</t>
        </is>
      </c>
      <c r="M14" s="26" t="inlineStr">
        <is>
          <t>Buy as a single. Search exact set + number. For Japanese/promos, use eBay or a Japanese marketplace/proxy; for European languages, Cardmarket is useful.</t>
        </is>
      </c>
      <c r="N14" s="26" t="inlineStr">
        <is>
          <t>Needs Level 3 audit</t>
        </is>
      </c>
      <c r="O14" s="26" t="inlineStr">
        <is>
          <t>NEED</t>
        </is>
      </c>
      <c r="P14" s="26" t="str"/>
      <c r="Q14" s="26" t="str"/>
      <c r="R14" s="26" t="str"/>
      <c r="S14" s="26" t="inlineStr">
        <is>
          <t>https://bulbapedia.bulbagarden.net/wiki/Marill_(TCG)</t>
        </is>
      </c>
    </row>
    <row r="15">
      <c r="A15" s="26" t="n">
        <v>14</v>
      </c>
      <c r="B15" s="26" t="inlineStr">
        <is>
          <t>Marill</t>
        </is>
      </c>
      <c r="C15" s="26" t="inlineStr">
        <is>
          <t>Marill</t>
        </is>
      </c>
      <c r="D15" s="26" t="inlineStr">
        <is>
          <t>EX Sandstorm</t>
        </is>
      </c>
      <c r="E15" s="26" t="inlineStr">
        <is>
          <t>68/100</t>
        </is>
      </c>
      <c r="F15" s="26" t="inlineStr">
        <is>
          <t>Miracle of the Desert</t>
        </is>
      </c>
      <c r="G15" s="26" t="inlineStr">
        <is>
          <t>016/053</t>
        </is>
      </c>
      <c r="H15" s="26" t="inlineStr">
        <is>
          <t>EX era</t>
        </is>
      </c>
      <c r="I15" s="26" t="inlineStr">
        <is>
          <t>Set card</t>
        </is>
      </c>
      <c r="J15" s="26" t="str"/>
      <c r="K15" s="26" t="str"/>
      <c r="L15" s="26" t="inlineStr">
        <is>
          <t>Out of print</t>
        </is>
      </c>
      <c r="M15" s="26" t="inlineStr">
        <is>
          <t>Buy as a single. Search exact set + number. For Japanese/promos, use eBay or a Japanese marketplace/proxy; for European languages, Cardmarket is useful.</t>
        </is>
      </c>
      <c r="N15" s="26" t="inlineStr">
        <is>
          <t>Needs Level 3 audit</t>
        </is>
      </c>
      <c r="O15" s="26" t="inlineStr">
        <is>
          <t>NEED</t>
        </is>
      </c>
      <c r="P15" s="26" t="str"/>
      <c r="Q15" s="26" t="str"/>
      <c r="R15" s="26" t="str"/>
      <c r="S15" s="26" t="inlineStr">
        <is>
          <t>https://bulbapedia.bulbagarden.net/wiki/Marill_(TCG)</t>
        </is>
      </c>
    </row>
    <row r="16">
      <c r="A16" s="26" t="n">
        <v>15</v>
      </c>
      <c r="B16" s="26" t="inlineStr">
        <is>
          <t>Marill</t>
        </is>
      </c>
      <c r="C16" s="26" t="inlineStr">
        <is>
          <t>Marill</t>
        </is>
      </c>
      <c r="D16" s="26" t="inlineStr">
        <is>
          <t>EX Team Rocket Returns</t>
        </is>
      </c>
      <c r="E16" s="26" t="inlineStr">
        <is>
          <t>68/109</t>
        </is>
      </c>
      <c r="F16" s="26" t="inlineStr">
        <is>
          <t>Rocket Gang Strikes Back</t>
        </is>
      </c>
      <c r="G16" s="26" t="inlineStr">
        <is>
          <t>023/084</t>
        </is>
      </c>
      <c r="H16" s="26" t="inlineStr">
        <is>
          <t>EX era</t>
        </is>
      </c>
      <c r="I16" s="26" t="inlineStr">
        <is>
          <t>Set card</t>
        </is>
      </c>
      <c r="J16" s="26" t="str"/>
      <c r="K16" s="26" t="str"/>
      <c r="L16" s="26" t="inlineStr">
        <is>
          <t>Out of print</t>
        </is>
      </c>
      <c r="M16" s="26" t="inlineStr">
        <is>
          <t>Buy as a single. Search exact set + number. For Japanese/promos, use eBay or a Japanese marketplace/proxy; for European languages, Cardmarket is useful.</t>
        </is>
      </c>
      <c r="N16" s="26" t="inlineStr">
        <is>
          <t>Needs Level 3 audit</t>
        </is>
      </c>
      <c r="O16" s="26" t="inlineStr">
        <is>
          <t>NEED</t>
        </is>
      </c>
      <c r="P16" s="26" t="str"/>
      <c r="Q16" s="26" t="str"/>
      <c r="R16" s="26" t="str"/>
      <c r="S16" s="26" t="inlineStr">
        <is>
          <t>https://bulbapedia.bulbagarden.net/wiki/Marill_(TCG)</t>
        </is>
      </c>
    </row>
    <row r="17">
      <c r="A17" s="26" t="n">
        <v>16</v>
      </c>
      <c r="B17" s="26" t="inlineStr">
        <is>
          <t>Marill</t>
        </is>
      </c>
      <c r="C17" s="26" t="inlineStr">
        <is>
          <t>Marill</t>
        </is>
      </c>
      <c r="D17" s="26" t="inlineStr">
        <is>
          <t>EX Delta Species</t>
        </is>
      </c>
      <c r="E17" s="26" t="inlineStr">
        <is>
          <t>76/113</t>
        </is>
      </c>
      <c r="F17" s="26" t="inlineStr">
        <is>
          <t>Holon Research Tower Water Quarter Deck</t>
        </is>
      </c>
      <c r="G17" s="26" t="inlineStr">
        <is>
          <t>004/015</t>
        </is>
      </c>
      <c r="H17" s="26" t="inlineStr">
        <is>
          <t>EX era</t>
        </is>
      </c>
      <c r="I17" s="26" t="inlineStr">
        <is>
          <t>Set/deck counterpart</t>
        </is>
      </c>
      <c r="J17" s="26" t="str"/>
      <c r="K17" s="26" t="str"/>
      <c r="L17" s="26" t="inlineStr">
        <is>
          <t>Out of print</t>
        </is>
      </c>
      <c r="M17" s="26" t="inlineStr">
        <is>
          <t>Buy as a single. Search exact set + number. For Japanese/promos, use eBay or a Japanese marketplace/proxy; for European languages, Cardmarket is useful.</t>
        </is>
      </c>
      <c r="N17" s="26" t="inlineStr">
        <is>
          <t>Needs Level 3 audit</t>
        </is>
      </c>
      <c r="O17" s="26" t="inlineStr">
        <is>
          <t>NEED</t>
        </is>
      </c>
      <c r="P17" s="26" t="str"/>
      <c r="Q17" s="26" t="str"/>
      <c r="R17" s="26" t="str"/>
      <c r="S17" s="26" t="inlineStr">
        <is>
          <t>https://bulbapedia.bulbagarden.net/wiki/Marill_(TCG)</t>
        </is>
      </c>
    </row>
    <row r="18">
      <c r="A18" s="26" t="n">
        <v>17</v>
      </c>
      <c r="B18" s="26" t="inlineStr">
        <is>
          <t>Marill</t>
        </is>
      </c>
      <c r="C18" s="26" t="inlineStr">
        <is>
          <t>Marill</t>
        </is>
      </c>
      <c r="D18" s="26" t="inlineStr">
        <is>
          <t>Diamond &amp; Pearl</t>
        </is>
      </c>
      <c r="E18" s="26" t="inlineStr">
        <is>
          <t>88/130</t>
        </is>
      </c>
      <c r="F18" s="26" t="inlineStr">
        <is>
          <t>Space-Time Creation</t>
        </is>
      </c>
      <c r="G18" s="26" t="str"/>
      <c r="H18" s="26" t="inlineStr">
        <is>
          <t>Diamond &amp; Pearl</t>
        </is>
      </c>
      <c r="I18" s="26" t="inlineStr">
        <is>
          <t>Set card</t>
        </is>
      </c>
      <c r="J18" s="26" t="str"/>
      <c r="K18" s="26" t="str"/>
      <c r="L18" s="26" t="inlineStr">
        <is>
          <t>Out of print</t>
        </is>
      </c>
      <c r="M18" s="26" t="inlineStr">
        <is>
          <t>Buy as a single. Search exact set + number. For Japanese/promos, use eBay or a Japanese marketplace/proxy; for European languages, Cardmarket is useful.</t>
        </is>
      </c>
      <c r="N18" s="26" t="inlineStr">
        <is>
          <t>Needs Level 3 audit</t>
        </is>
      </c>
      <c r="O18" s="26" t="inlineStr">
        <is>
          <t>NEED</t>
        </is>
      </c>
      <c r="P18" s="26" t="str"/>
      <c r="Q18" s="26" t="str"/>
      <c r="R18" s="26" t="str"/>
      <c r="S18" s="26" t="inlineStr">
        <is>
          <t>https://bulbapedia.bulbagarden.net/wiki/Marill_(TCG)</t>
        </is>
      </c>
    </row>
    <row r="19">
      <c r="A19" s="26" t="n">
        <v>18</v>
      </c>
      <c r="B19" s="26" t="inlineStr">
        <is>
          <t>Marill</t>
        </is>
      </c>
      <c r="C19" s="26" t="inlineStr">
        <is>
          <t>Marill</t>
        </is>
      </c>
      <c r="D19" s="26" t="inlineStr">
        <is>
          <t>HeartGold &amp; SoulSilver</t>
        </is>
      </c>
      <c r="E19" s="26" t="inlineStr">
        <is>
          <t>74/123</t>
        </is>
      </c>
      <c r="F19" s="26" t="inlineStr">
        <is>
          <t>SoulSilver Collection</t>
        </is>
      </c>
      <c r="G19" s="26" t="inlineStr">
        <is>
          <t>024/070</t>
        </is>
      </c>
      <c r="H19" s="26" t="inlineStr">
        <is>
          <t>HGSS</t>
        </is>
      </c>
      <c r="I19" s="26" t="inlineStr">
        <is>
          <t>Set card</t>
        </is>
      </c>
      <c r="J19" s="26" t="inlineStr">
        <is>
          <t>Gyarados Half Deck printings also exist; audit</t>
        </is>
      </c>
      <c r="K19" s="26" t="str"/>
      <c r="L19" s="26" t="inlineStr">
        <is>
          <t>Out of print</t>
        </is>
      </c>
      <c r="M19" s="26" t="inlineStr">
        <is>
          <t>Buy as a single. Search exact set + number. For Japanese/promos, use eBay or a Japanese marketplace/proxy; for European languages, Cardmarket is useful.</t>
        </is>
      </c>
      <c r="N19" s="26" t="inlineStr">
        <is>
          <t>Needs Level 3 audit</t>
        </is>
      </c>
      <c r="O19" s="26" t="inlineStr">
        <is>
          <t>NEED</t>
        </is>
      </c>
      <c r="P19" s="26" t="str"/>
      <c r="Q19" s="26" t="str"/>
      <c r="R19" s="26" t="str"/>
      <c r="S19" s="26" t="inlineStr">
        <is>
          <t>https://bulbapedia.bulbagarden.net/wiki/Marill_(TCG)</t>
        </is>
      </c>
    </row>
    <row r="20">
      <c r="A20" s="26" t="n">
        <v>19</v>
      </c>
      <c r="B20" s="26" t="inlineStr">
        <is>
          <t>Marill</t>
        </is>
      </c>
      <c r="C20" s="26" t="inlineStr">
        <is>
          <t>Marill</t>
        </is>
      </c>
      <c r="D20" s="26" t="inlineStr">
        <is>
          <t>Boundaries Crossed</t>
        </is>
      </c>
      <c r="E20" s="26" t="inlineStr">
        <is>
          <t>36/149</t>
        </is>
      </c>
      <c r="F20" s="26" t="inlineStr">
        <is>
          <t>Freeze Bolt</t>
        </is>
      </c>
      <c r="G20" s="26" t="inlineStr">
        <is>
          <t>015/059</t>
        </is>
      </c>
      <c r="H20" s="26" t="inlineStr">
        <is>
          <t>Black &amp; White</t>
        </is>
      </c>
      <c r="I20" s="26" t="inlineStr">
        <is>
          <t>Set card</t>
        </is>
      </c>
      <c r="J20" s="26" t="str"/>
      <c r="K20" s="26" t="str"/>
      <c r="L20" s="26" t="inlineStr">
        <is>
          <t>Out of print</t>
        </is>
      </c>
      <c r="M20" s="26" t="inlineStr">
        <is>
          <t>Buy as a single. Search exact set + number. For Japanese/promos, use eBay or a Japanese marketplace/proxy; for European languages, Cardmarket is useful.</t>
        </is>
      </c>
      <c r="N20" s="26" t="inlineStr">
        <is>
          <t>Needs Level 3 audit</t>
        </is>
      </c>
      <c r="O20" s="26" t="inlineStr">
        <is>
          <t>NEED</t>
        </is>
      </c>
      <c r="P20" s="26" t="str"/>
      <c r="Q20" s="26" t="str"/>
      <c r="R20" s="26" t="str"/>
      <c r="S20" s="26" t="inlineStr">
        <is>
          <t>https://bulbapedia.bulbagarden.net/wiki/Marill_(TCG)</t>
        </is>
      </c>
    </row>
    <row r="21">
      <c r="A21" s="26" t="n">
        <v>20</v>
      </c>
      <c r="B21" s="26" t="inlineStr">
        <is>
          <t>Marill</t>
        </is>
      </c>
      <c r="C21" s="26" t="inlineStr">
        <is>
          <t>Marill</t>
        </is>
      </c>
      <c r="D21" s="26" t="str"/>
      <c r="E21" s="26" t="str"/>
      <c r="F21" s="26" t="inlineStr">
        <is>
          <t>Everyone's Exciting Battle</t>
        </is>
      </c>
      <c r="G21" s="26" t="inlineStr">
        <is>
          <t>011/047</t>
        </is>
      </c>
      <c r="H21" s="26" t="inlineStr">
        <is>
          <t>Black &amp; White</t>
        </is>
      </c>
      <c r="I21" s="26" t="inlineStr">
        <is>
          <t>Japanese special product</t>
        </is>
      </c>
      <c r="J21" s="26" t="inlineStr">
        <is>
          <t>Japanese special release</t>
        </is>
      </c>
      <c r="K21" s="26" t="str"/>
      <c r="L21" s="26" t="inlineStr">
        <is>
          <t>Out of print</t>
        </is>
      </c>
      <c r="M21" s="26" t="inlineStr">
        <is>
          <t>Buy as a single. Search exact set + number. For Japanese/promos, use eBay or a Japanese marketplace/proxy; for European languages, Cardmarket is useful.</t>
        </is>
      </c>
      <c r="N21" s="26" t="inlineStr">
        <is>
          <t>Needs Level 3 audit</t>
        </is>
      </c>
      <c r="O21" s="26" t="inlineStr">
        <is>
          <t>NEED</t>
        </is>
      </c>
      <c r="P21" s="26" t="str"/>
      <c r="Q21" s="26" t="str"/>
      <c r="R21" s="26" t="str"/>
      <c r="S21" s="26" t="inlineStr">
        <is>
          <t>https://bulbapedia.bulbagarden.net/wiki/Marill_(TCG)</t>
        </is>
      </c>
    </row>
    <row r="22">
      <c r="A22" s="26" t="n">
        <v>21</v>
      </c>
      <c r="B22" s="26" t="inlineStr">
        <is>
          <t>Marill</t>
        </is>
      </c>
      <c r="C22" s="26" t="inlineStr">
        <is>
          <t>Marill</t>
        </is>
      </c>
      <c r="D22" s="26" t="inlineStr">
        <is>
          <t>Primal Clash</t>
        </is>
      </c>
      <c r="E22" s="26" t="inlineStr">
        <is>
          <t>102/160</t>
        </is>
      </c>
      <c r="F22" s="26" t="inlineStr">
        <is>
          <t>Tidal Storm</t>
        </is>
      </c>
      <c r="G22" s="26" t="inlineStr">
        <is>
          <t>047/070</t>
        </is>
      </c>
      <c r="H22" s="26" t="inlineStr">
        <is>
          <t>XY</t>
        </is>
      </c>
      <c r="I22" s="26" t="inlineStr">
        <is>
          <t>Set card</t>
        </is>
      </c>
      <c r="J22" s="26" t="inlineStr">
        <is>
          <t>McDonald's Collection 2015 printing also exists</t>
        </is>
      </c>
      <c r="K22" s="26" t="str"/>
      <c r="L22" s="26" t="inlineStr">
        <is>
          <t>Out of print</t>
        </is>
      </c>
      <c r="M22" s="26" t="inlineStr">
        <is>
          <t>Buy as a single. Search exact set + number. For Japanese/promos, use eBay or a Japanese marketplace/proxy; for European languages, Cardmarket is useful.</t>
        </is>
      </c>
      <c r="N22" s="26" t="inlineStr">
        <is>
          <t>Needs Level 3 audit</t>
        </is>
      </c>
      <c r="O22" s="26" t="inlineStr">
        <is>
          <t>NEED</t>
        </is>
      </c>
      <c r="P22" s="26" t="str"/>
      <c r="Q22" s="26" t="str"/>
      <c r="R22" s="26" t="str"/>
      <c r="S22" s="26" t="inlineStr">
        <is>
          <t>https://bulbapedia.bulbagarden.net/wiki/Marill_(TCG)</t>
        </is>
      </c>
    </row>
    <row r="23">
      <c r="A23" s="26" t="n">
        <v>22</v>
      </c>
      <c r="B23" s="26" t="inlineStr">
        <is>
          <t>Marill</t>
        </is>
      </c>
      <c r="C23" s="26" t="inlineStr">
        <is>
          <t>Marill</t>
        </is>
      </c>
      <c r="D23" s="26" t="inlineStr">
        <is>
          <t>Steam Siege</t>
        </is>
      </c>
      <c r="E23" s="26" t="inlineStr">
        <is>
          <t>76/114</t>
        </is>
      </c>
      <c r="F23" s="26" t="inlineStr">
        <is>
          <t>Cruel Traitor</t>
        </is>
      </c>
      <c r="G23" s="26" t="inlineStr">
        <is>
          <t>036/054</t>
        </is>
      </c>
      <c r="H23" s="26" t="inlineStr">
        <is>
          <t>XY</t>
        </is>
      </c>
      <c r="I23" s="26" t="inlineStr">
        <is>
          <t>Set card</t>
        </is>
      </c>
      <c r="J23" s="26" t="str"/>
      <c r="K23" s="26" t="str"/>
      <c r="L23" s="26" t="inlineStr">
        <is>
          <t>Out of print</t>
        </is>
      </c>
      <c r="M23" s="26" t="inlineStr">
        <is>
          <t>Buy as a single. Search exact set + number. For Japanese/promos, use eBay or a Japanese marketplace/proxy; for European languages, Cardmarket is useful.</t>
        </is>
      </c>
      <c r="N23" s="26" t="inlineStr">
        <is>
          <t>Needs Level 3 audit</t>
        </is>
      </c>
      <c r="O23" s="26" t="inlineStr">
        <is>
          <t>NEED</t>
        </is>
      </c>
      <c r="P23" s="26" t="str"/>
      <c r="Q23" s="26" t="str"/>
      <c r="R23" s="26" t="str"/>
      <c r="S23" s="26" t="inlineStr">
        <is>
          <t>https://bulbapedia.bulbagarden.net/wiki/Marill_(TCG)</t>
        </is>
      </c>
    </row>
    <row r="24">
      <c r="A24" s="26" t="n">
        <v>23</v>
      </c>
      <c r="B24" s="26" t="inlineStr">
        <is>
          <t>Marill</t>
        </is>
      </c>
      <c r="C24" s="26" t="inlineStr">
        <is>
          <t>Marill</t>
        </is>
      </c>
      <c r="D24" s="26" t="inlineStr">
        <is>
          <t>Burning Shadows</t>
        </is>
      </c>
      <c r="E24" s="26" t="inlineStr">
        <is>
          <t>34/147</t>
        </is>
      </c>
      <c r="F24" s="26" t="inlineStr">
        <is>
          <t>To Have Seen the Battle Rainbow</t>
        </is>
      </c>
      <c r="G24" s="26" t="inlineStr">
        <is>
          <t>019/051</t>
        </is>
      </c>
      <c r="H24" s="26" t="inlineStr">
        <is>
          <t>Sun &amp; Moon</t>
        </is>
      </c>
      <c r="I24" s="26" t="inlineStr">
        <is>
          <t>Artist card</t>
        </is>
      </c>
      <c r="J24" s="26" t="inlineStr">
        <is>
          <t>Asako Ito</t>
        </is>
      </c>
      <c r="K24" s="26" t="inlineStr">
        <is>
          <t>Asako Ito</t>
        </is>
      </c>
      <c r="L24" s="26" t="inlineStr">
        <is>
          <t>Out of print</t>
        </is>
      </c>
      <c r="M24" s="26" t="inlineStr">
        <is>
          <t>Buy as a single. Search exact set + number. For Japanese/promos, use eBay or a Japanese marketplace/proxy; for European languages, Cardmarket is useful.</t>
        </is>
      </c>
      <c r="N24" s="26" t="inlineStr">
        <is>
          <t>Needs Level 3 audit</t>
        </is>
      </c>
      <c r="O24" s="26" t="inlineStr">
        <is>
          <t>NEED</t>
        </is>
      </c>
      <c r="P24" s="26" t="str"/>
      <c r="Q24" s="26" t="str"/>
      <c r="R24" s="26" t="str"/>
      <c r="S24" s="26" t="inlineStr">
        <is>
          <t>https://bulbapedia.bulbagarden.net/wiki/Marill_(TCG)</t>
        </is>
      </c>
    </row>
    <row r="25">
      <c r="A25" s="26" t="n">
        <v>24</v>
      </c>
      <c r="B25" s="26" t="inlineStr">
        <is>
          <t>Marill</t>
        </is>
      </c>
      <c r="C25" s="26" t="inlineStr">
        <is>
          <t>Marill</t>
        </is>
      </c>
      <c r="D25" s="26" t="inlineStr">
        <is>
          <t>Lost Thunder</t>
        </is>
      </c>
      <c r="E25" s="26" t="inlineStr">
        <is>
          <t>135/214</t>
        </is>
      </c>
      <c r="F25" s="26" t="inlineStr">
        <is>
          <t>Super-Burst Impact</t>
        </is>
      </c>
      <c r="G25" s="26" t="inlineStr">
        <is>
          <t>062/095</t>
        </is>
      </c>
      <c r="H25" s="26" t="inlineStr">
        <is>
          <t>Sun &amp; Moon</t>
        </is>
      </c>
      <c r="I25" s="26" t="inlineStr">
        <is>
          <t>Set card</t>
        </is>
      </c>
      <c r="J25" s="26" t="str"/>
      <c r="K25" s="26" t="str"/>
      <c r="L25" s="26" t="inlineStr">
        <is>
          <t>Out of print</t>
        </is>
      </c>
      <c r="M25" s="26" t="inlineStr">
        <is>
          <t>Buy as a single. Search exact set + number. For Japanese/promos, use eBay or a Japanese marketplace/proxy; for European languages, Cardmarket is useful.</t>
        </is>
      </c>
      <c r="N25" s="26" t="inlineStr">
        <is>
          <t>Needs Level 3 audit</t>
        </is>
      </c>
      <c r="O25" s="26" t="inlineStr">
        <is>
          <t>NEED</t>
        </is>
      </c>
      <c r="P25" s="26" t="str"/>
      <c r="Q25" s="26" t="str"/>
      <c r="R25" s="26" t="str"/>
      <c r="S25" s="26" t="inlineStr">
        <is>
          <t>https://bulbapedia.bulbagarden.net/wiki/Marill_(TCG)</t>
        </is>
      </c>
    </row>
    <row r="26">
      <c r="A26" s="26" t="n">
        <v>25</v>
      </c>
      <c r="B26" s="26" t="inlineStr">
        <is>
          <t>Marill</t>
        </is>
      </c>
      <c r="C26" s="26" t="inlineStr">
        <is>
          <t>Marill</t>
        </is>
      </c>
      <c r="D26" s="26" t="inlineStr">
        <is>
          <t>Fusion Strike</t>
        </is>
      </c>
      <c r="E26" s="26" t="inlineStr">
        <is>
          <t>058/264</t>
        </is>
      </c>
      <c r="F26" s="26" t="inlineStr">
        <is>
          <t>Eevee Heroes</t>
        </is>
      </c>
      <c r="G26" s="26" t="inlineStr">
        <is>
          <t>016/069</t>
        </is>
      </c>
      <c r="H26" s="26" t="inlineStr">
        <is>
          <t>Sword &amp; Shield</t>
        </is>
      </c>
      <c r="I26" s="26" t="inlineStr">
        <is>
          <t>Set card</t>
        </is>
      </c>
      <c r="J26" s="26" t="inlineStr">
        <is>
          <t>Start Deck 100 Japanese printing also exists</t>
        </is>
      </c>
      <c r="K26" s="26" t="str"/>
      <c r="L26" s="26" t="inlineStr">
        <is>
          <t>Out of print</t>
        </is>
      </c>
      <c r="M26" s="26" t="inlineStr">
        <is>
          <t>Buy as a single. Search exact set + number. For Japanese/promos, use eBay or a Japanese marketplace/proxy; for European languages, Cardmarket is useful.</t>
        </is>
      </c>
      <c r="N26" s="26" t="inlineStr">
        <is>
          <t>Needs Level 3 audit</t>
        </is>
      </c>
      <c r="O26" s="26" t="inlineStr">
        <is>
          <t>NEED</t>
        </is>
      </c>
      <c r="P26" s="26" t="str"/>
      <c r="Q26" s="26" t="str"/>
      <c r="R26" s="26" t="str"/>
      <c r="S26" s="26" t="inlineStr">
        <is>
          <t>https://bulbapedia.bulbagarden.net/wiki/Marill_(TCG)</t>
        </is>
      </c>
    </row>
    <row r="27">
      <c r="A27" s="26" t="n">
        <v>26</v>
      </c>
      <c r="B27" s="26" t="inlineStr">
        <is>
          <t>Marill</t>
        </is>
      </c>
      <c r="C27" s="26" t="inlineStr">
        <is>
          <t>Marill</t>
        </is>
      </c>
      <c r="D27" s="26" t="inlineStr">
        <is>
          <t>Paldea Evolved</t>
        </is>
      </c>
      <c r="E27" s="26" t="inlineStr">
        <is>
          <t>044/193</t>
        </is>
      </c>
      <c r="F27" s="26" t="inlineStr">
        <is>
          <t>Snow Hazard</t>
        </is>
      </c>
      <c r="G27" s="26" t="inlineStr">
        <is>
          <t>016/071</t>
        </is>
      </c>
      <c r="H27" s="26" t="inlineStr">
        <is>
          <t>Scarlet &amp; Violet</t>
        </is>
      </c>
      <c r="I27" s="26" t="inlineStr">
        <is>
          <t>Set card</t>
        </is>
      </c>
      <c r="J27" s="26" t="inlineStr">
        <is>
          <t>Standard artwork</t>
        </is>
      </c>
      <c r="K27" s="26" t="str"/>
      <c r="L27" s="26" t="inlineStr">
        <is>
          <t>Out of print</t>
        </is>
      </c>
      <c r="M27" s="26" t="inlineStr">
        <is>
          <t>Buy as a single. Search exact set + number. For Japanese/promos, use eBay or a Japanese marketplace/proxy; for European languages, Cardmarket is useful.</t>
        </is>
      </c>
      <c r="N27" s="26" t="inlineStr">
        <is>
          <t>Needs Level 3 audit</t>
        </is>
      </c>
      <c r="O27" s="26" t="inlineStr">
        <is>
          <t>NEED</t>
        </is>
      </c>
      <c r="P27" s="26" t="str"/>
      <c r="Q27" s="26" t="str"/>
      <c r="R27" s="26" t="str"/>
      <c r="S27" s="26" t="inlineStr">
        <is>
          <t>https://bulbapedia.bulbagarden.net/wiki/Marill_(TCG)</t>
        </is>
      </c>
    </row>
    <row r="28">
      <c r="A28" s="26" t="n">
        <v>27</v>
      </c>
      <c r="B28" s="26" t="inlineStr">
        <is>
          <t>Marill</t>
        </is>
      </c>
      <c r="C28" s="26" t="inlineStr">
        <is>
          <t>Marill</t>
        </is>
      </c>
      <c r="D28" s="26" t="inlineStr">
        <is>
          <t>Paldea Evolved</t>
        </is>
      </c>
      <c r="E28" s="26" t="inlineStr">
        <is>
          <t>204/193</t>
        </is>
      </c>
      <c r="F28" s="26" t="inlineStr">
        <is>
          <t>Snow Hazard</t>
        </is>
      </c>
      <c r="G28" s="26" t="inlineStr">
        <is>
          <t>073/071</t>
        </is>
      </c>
      <c r="H28" s="26" t="inlineStr">
        <is>
          <t>Scarlet &amp; Violet</t>
        </is>
      </c>
      <c r="I28" s="26" t="inlineStr">
        <is>
          <t>Illustration Rare</t>
        </is>
      </c>
      <c r="J28" s="26" t="inlineStr">
        <is>
          <t>Illustration Rare / Art Rare</t>
        </is>
      </c>
      <c r="K28" s="26" t="str"/>
      <c r="L28" s="26" t="inlineStr">
        <is>
          <t>Out of print</t>
        </is>
      </c>
      <c r="M28" s="26" t="inlineStr">
        <is>
          <t>Buy as a single. Search exact set + number. For Japanese/promos, use eBay or a Japanese marketplace/proxy; for European languages, Cardmarket is useful.</t>
        </is>
      </c>
      <c r="N28" s="26" t="inlineStr">
        <is>
          <t>Needs Level 3 audit</t>
        </is>
      </c>
      <c r="O28" s="26" t="inlineStr">
        <is>
          <t>NEED</t>
        </is>
      </c>
      <c r="P28" s="26" t="str"/>
      <c r="Q28" s="26" t="str"/>
      <c r="R28" s="26" t="str"/>
      <c r="S28" s="26" t="inlineStr">
        <is>
          <t>https://bulbapedia.bulbagarden.net/wiki/Marill_(TCG)</t>
        </is>
      </c>
    </row>
    <row r="29">
      <c r="A29" s="26" t="n">
        <v>28</v>
      </c>
      <c r="B29" s="26" t="inlineStr">
        <is>
          <t>Marill</t>
        </is>
      </c>
      <c r="C29" s="26" t="inlineStr">
        <is>
          <t>Marill</t>
        </is>
      </c>
      <c r="D29" s="26" t="inlineStr">
        <is>
          <t>Temporal Forces</t>
        </is>
      </c>
      <c r="E29" s="26" t="inlineStr">
        <is>
          <t>064/162</t>
        </is>
      </c>
      <c r="F29" s="26" t="inlineStr">
        <is>
          <t>Wild Force</t>
        </is>
      </c>
      <c r="G29" s="26" t="inlineStr">
        <is>
          <t>026/071</t>
        </is>
      </c>
      <c r="H29" s="26" t="inlineStr">
        <is>
          <t>Scarlet &amp; Violet</t>
        </is>
      </c>
      <c r="I29" s="26" t="inlineStr">
        <is>
          <t>Set card</t>
        </is>
      </c>
      <c r="J29" s="26" t="str"/>
      <c r="K29" s="26" t="str"/>
      <c r="L29" s="26" t="inlineStr">
        <is>
          <t>Out of print</t>
        </is>
      </c>
      <c r="M29" s="26" t="inlineStr">
        <is>
          <t>Buy as a single. Search exact set + number. For Japanese/promos, use eBay or a Japanese marketplace/proxy; for European languages, Cardmarket is useful.</t>
        </is>
      </c>
      <c r="N29" s="26" t="inlineStr">
        <is>
          <t>Needs Level 3 audit</t>
        </is>
      </c>
      <c r="O29" s="26" t="inlineStr">
        <is>
          <t>NEED</t>
        </is>
      </c>
      <c r="P29" s="26" t="str"/>
      <c r="Q29" s="26" t="str"/>
      <c r="R29" s="26" t="str"/>
      <c r="S29" s="26" t="inlineStr">
        <is>
          <t>https://bulbapedia.bulbagarden.net/wiki/Marill_(TCG)</t>
        </is>
      </c>
    </row>
    <row r="30">
      <c r="A30" s="26" t="n">
        <v>29</v>
      </c>
      <c r="B30" s="26" t="inlineStr">
        <is>
          <t>Marill</t>
        </is>
      </c>
      <c r="C30" s="26" t="inlineStr">
        <is>
          <t>Marill</t>
        </is>
      </c>
      <c r="D30" s="26" t="inlineStr">
        <is>
          <t>Stellar Crown</t>
        </is>
      </c>
      <c r="E30" s="26" t="inlineStr">
        <is>
          <t>033/142</t>
        </is>
      </c>
      <c r="F30" s="26" t="inlineStr">
        <is>
          <t>Pokémon Card Game Battle Academy</t>
        </is>
      </c>
      <c r="G30" s="26" t="inlineStr">
        <is>
          <t>013/066</t>
        </is>
      </c>
      <c r="H30" s="26" t="inlineStr">
        <is>
          <t>Scarlet &amp; Violet</t>
        </is>
      </c>
      <c r="I30" s="26" t="inlineStr">
        <is>
          <t>Set/deck counterpart</t>
        </is>
      </c>
      <c r="J30" s="26" t="inlineStr">
        <is>
          <t>Battle Academy Japanese release</t>
        </is>
      </c>
      <c r="K30" s="26" t="str"/>
      <c r="L30" s="26" t="inlineStr">
        <is>
          <t>Out of print</t>
        </is>
      </c>
      <c r="M30" s="26" t="inlineStr">
        <is>
          <t>Buy as a single. Search exact set + number. For Japanese/promos, use eBay or a Japanese marketplace/proxy; for European languages, Cardmarket is useful.</t>
        </is>
      </c>
      <c r="N30" s="26" t="inlineStr">
        <is>
          <t>Needs Level 3 audit</t>
        </is>
      </c>
      <c r="O30" s="26" t="inlineStr">
        <is>
          <t>NEED</t>
        </is>
      </c>
      <c r="P30" s="26" t="str"/>
      <c r="Q30" s="26" t="str"/>
      <c r="R30" s="26" t="str"/>
      <c r="S30" s="26" t="inlineStr">
        <is>
          <t>https://bulbapedia.bulbagarden.net/wiki/Marill_(TCG)</t>
        </is>
      </c>
    </row>
    <row r="31">
      <c r="A31" s="26" t="n">
        <v>30</v>
      </c>
      <c r="B31" s="26" t="inlineStr">
        <is>
          <t>Marill</t>
        </is>
      </c>
      <c r="C31" s="26" t="inlineStr">
        <is>
          <t>Marill</t>
        </is>
      </c>
      <c r="D31" s="26" t="inlineStr">
        <is>
          <t>Surging Sparks</t>
        </is>
      </c>
      <c r="E31" s="26" t="inlineStr">
        <is>
          <t>073/191</t>
        </is>
      </c>
      <c r="F31" s="26" t="inlineStr">
        <is>
          <t>Stellar Tera Type Starter Set Sylveon ex</t>
        </is>
      </c>
      <c r="G31" s="26" t="inlineStr">
        <is>
          <t>003/022</t>
        </is>
      </c>
      <c r="H31" s="26" t="inlineStr">
        <is>
          <t>Scarlet &amp; Violet</t>
        </is>
      </c>
      <c r="I31" s="26" t="inlineStr">
        <is>
          <t>Set/deck counterpart</t>
        </is>
      </c>
      <c r="J31" s="26" t="inlineStr">
        <is>
          <t>Start Deck 100 Battle Collection printing also exists</t>
        </is>
      </c>
      <c r="K31" s="26" t="str"/>
      <c r="L31" s="26" t="inlineStr">
        <is>
          <t>Out of print</t>
        </is>
      </c>
      <c r="M31" s="26" t="inlineStr">
        <is>
          <t>Buy as a single. Search exact set + number. For Japanese/promos, use eBay or a Japanese marketplace/proxy; for European languages, Cardmarket is useful.</t>
        </is>
      </c>
      <c r="N31" s="26" t="inlineStr">
        <is>
          <t>Needs Level 3 audit</t>
        </is>
      </c>
      <c r="O31" s="26" t="inlineStr">
        <is>
          <t>NEED</t>
        </is>
      </c>
      <c r="P31" s="26" t="str"/>
      <c r="Q31" s="26" t="str"/>
      <c r="R31" s="26" t="str"/>
      <c r="S31" s="26" t="inlineStr">
        <is>
          <t>https://bulbapedia.bulbagarden.net/wiki/Marill_(TCG)</t>
        </is>
      </c>
    </row>
    <row r="32">
      <c r="A32" s="26" t="n">
        <v>31</v>
      </c>
      <c r="B32" s="26" t="inlineStr">
        <is>
          <t>Marill</t>
        </is>
      </c>
      <c r="C32" s="26" t="inlineStr">
        <is>
          <t>Marill</t>
        </is>
      </c>
      <c r="D32" s="26" t="inlineStr">
        <is>
          <t>Ascended Heroes</t>
        </is>
      </c>
      <c r="E32" s="26" t="inlineStr">
        <is>
          <t>083/217</t>
        </is>
      </c>
      <c r="F32" s="26" t="inlineStr">
        <is>
          <t>Start Deck 100 Battle Collection</t>
        </is>
      </c>
      <c r="G32" s="26" t="inlineStr">
        <is>
          <t>295/742</t>
        </is>
      </c>
      <c r="H32" s="26" t="inlineStr">
        <is>
          <t>Mega Evolution era</t>
        </is>
      </c>
      <c r="I32" s="26" t="inlineStr">
        <is>
          <t>Set card</t>
        </is>
      </c>
      <c r="J32" s="26" t="inlineStr">
        <is>
          <t>Current-era release</t>
        </is>
      </c>
      <c r="K32" s="26" t="str"/>
      <c r="L32" s="26" t="inlineStr">
        <is>
          <t>Current sealed possible; singles still recommended</t>
        </is>
      </c>
      <c r="M32" s="26" t="inlineStr">
        <is>
          <t>Current set: you can pull it, but buying the single is usually cheaper if this family is your goal.</t>
        </is>
      </c>
      <c r="N32" s="26" t="inlineStr">
        <is>
          <t>Needs Level 3 audit</t>
        </is>
      </c>
      <c r="O32" s="26" t="inlineStr">
        <is>
          <t>NEED</t>
        </is>
      </c>
      <c r="P32" s="26" t="str"/>
      <c r="Q32" s="26" t="str"/>
      <c r="R32" s="26" t="str"/>
      <c r="S32" s="26" t="inlineStr">
        <is>
          <t>https://bulbapedia.bulbagarden.net/wiki/Marill_(TCG)</t>
        </is>
      </c>
    </row>
    <row r="33">
      <c r="A33" s="26" t="n">
        <v>32</v>
      </c>
      <c r="B33" s="26" t="inlineStr">
        <is>
          <t>Marill</t>
        </is>
      </c>
      <c r="C33" s="26" t="inlineStr">
        <is>
          <t>Marill</t>
        </is>
      </c>
      <c r="D33" s="26" t="inlineStr">
        <is>
          <t>Ascended Heroes</t>
        </is>
      </c>
      <c r="E33" s="26" t="inlineStr">
        <is>
          <t>232/217</t>
        </is>
      </c>
      <c r="F33" s="26" t="inlineStr">
        <is>
          <t>Start Deck 100 Battle Collection</t>
        </is>
      </c>
      <c r="G33" s="26" t="inlineStr">
        <is>
          <t>748/742</t>
        </is>
      </c>
      <c r="H33" s="26" t="inlineStr">
        <is>
          <t>Mega Evolution era</t>
        </is>
      </c>
      <c r="I33" s="26" t="inlineStr">
        <is>
          <t>Illustration Rare</t>
        </is>
      </c>
      <c r="J33" s="26" t="inlineStr">
        <is>
          <t>Illustration Rare / current-era release</t>
        </is>
      </c>
      <c r="K33" s="26" t="str"/>
      <c r="L33" s="26" t="inlineStr">
        <is>
          <t>Current sealed possible; singles still recommended</t>
        </is>
      </c>
      <c r="M33" s="26" t="inlineStr">
        <is>
          <t>Current set: you can pull it, but buying the single is usually cheaper if this family is your goal.</t>
        </is>
      </c>
      <c r="N33" s="26" t="inlineStr">
        <is>
          <t>Needs Level 3 audit</t>
        </is>
      </c>
      <c r="O33" s="26" t="inlineStr">
        <is>
          <t>NEED</t>
        </is>
      </c>
      <c r="P33" s="26" t="str"/>
      <c r="Q33" s="26" t="str"/>
      <c r="R33" s="26" t="str"/>
      <c r="S33" s="26" t="inlineStr">
        <is>
          <t>https://bulbapedia.bulbagarden.net/wiki/Marill_(TCG)</t>
        </is>
      </c>
    </row>
    <row r="34">
      <c r="A34" s="26" t="n">
        <v>33</v>
      </c>
      <c r="B34" s="26" t="inlineStr">
        <is>
          <t>Azumarill</t>
        </is>
      </c>
      <c r="C34" s="26" t="inlineStr">
        <is>
          <t>Azumarill</t>
        </is>
      </c>
      <c r="D34" s="26" t="inlineStr">
        <is>
          <t>Neo Genesis</t>
        </is>
      </c>
      <c r="E34" s="26" t="inlineStr">
        <is>
          <t>2/111</t>
        </is>
      </c>
      <c r="F34" s="26" t="inlineStr">
        <is>
          <t>Gold, Silver, to a New World...</t>
        </is>
      </c>
      <c r="G34" s="26" t="str"/>
      <c r="H34" s="26" t="inlineStr">
        <is>
          <t>Neo</t>
        </is>
      </c>
      <c r="I34" s="26" t="inlineStr">
        <is>
          <t>Set card</t>
        </is>
      </c>
      <c r="J34" s="26" t="str"/>
      <c r="K34" s="26" t="str"/>
      <c r="L34" s="26" t="inlineStr">
        <is>
          <t>Out of print</t>
        </is>
      </c>
      <c r="M34" s="26" t="inlineStr">
        <is>
          <t>Buy as a single. Use TCGplayer for English, Cardmarket for many European languages, and eBay/Japanese marketplaces for Japanese or scarce printings.</t>
        </is>
      </c>
      <c r="N34" s="26" t="inlineStr">
        <is>
          <t>Needs Level 3 audit</t>
        </is>
      </c>
      <c r="O34" s="26" t="inlineStr">
        <is>
          <t>NEED</t>
        </is>
      </c>
      <c r="P34" s="26" t="str"/>
      <c r="Q34" s="26" t="str"/>
      <c r="R34" s="26" t="str"/>
      <c r="S34" s="26" t="inlineStr">
        <is>
          <t>https://bulbapedia.bulbagarden.net/wiki/Azumarill_(TCG)</t>
        </is>
      </c>
    </row>
    <row r="35">
      <c r="A35" s="26" t="n">
        <v>34</v>
      </c>
      <c r="B35" s="26" t="inlineStr">
        <is>
          <t>Azumarill</t>
        </is>
      </c>
      <c r="C35" s="26" t="inlineStr">
        <is>
          <t>Azumarill</t>
        </is>
      </c>
      <c r="D35" s="26" t="inlineStr">
        <is>
          <t>Aquapolis</t>
        </is>
      </c>
      <c r="E35" s="26" t="inlineStr">
        <is>
          <t>H4/H32</t>
        </is>
      </c>
      <c r="F35" s="26" t="inlineStr">
        <is>
          <t>The Town on No Map</t>
        </is>
      </c>
      <c r="G35" s="26" t="inlineStr">
        <is>
          <t>026/092</t>
        </is>
      </c>
      <c r="H35" s="26" t="inlineStr">
        <is>
          <t>e-Card</t>
        </is>
      </c>
      <c r="I35" s="26" t="inlineStr">
        <is>
          <t>Holo</t>
        </is>
      </c>
      <c r="J35" s="26" t="inlineStr">
        <is>
          <t>e-Reader holo</t>
        </is>
      </c>
      <c r="K35" s="26" t="str"/>
      <c r="L35" s="26" t="inlineStr">
        <is>
          <t>Out of print</t>
        </is>
      </c>
      <c r="M35" s="26" t="inlineStr">
        <is>
          <t>Buy as a single. Use TCGplayer for English, Cardmarket for many European languages, and eBay/Japanese marketplaces for Japanese or scarce printings.</t>
        </is>
      </c>
      <c r="N35" s="26" t="inlineStr">
        <is>
          <t>Needs Level 3 audit</t>
        </is>
      </c>
      <c r="O35" s="26" t="inlineStr">
        <is>
          <t>NEED</t>
        </is>
      </c>
      <c r="P35" s="26" t="str"/>
      <c r="Q35" s="26" t="str"/>
      <c r="R35" s="26" t="str"/>
      <c r="S35" s="26" t="inlineStr">
        <is>
          <t>https://bulbapedia.bulbagarden.net/wiki/Azumarill_(TCG)</t>
        </is>
      </c>
    </row>
    <row r="36">
      <c r="A36" s="26" t="n">
        <v>35</v>
      </c>
      <c r="B36" s="26" t="inlineStr">
        <is>
          <t>Azumarill</t>
        </is>
      </c>
      <c r="C36" s="26" t="inlineStr">
        <is>
          <t>Azumarill</t>
        </is>
      </c>
      <c r="D36" s="26" t="inlineStr">
        <is>
          <t>Aquapolis</t>
        </is>
      </c>
      <c r="E36" s="26" t="inlineStr">
        <is>
          <t>4/147</t>
        </is>
      </c>
      <c r="F36" s="26" t="inlineStr">
        <is>
          <t>The Town on No Map</t>
        </is>
      </c>
      <c r="G36" s="26" t="inlineStr">
        <is>
          <t>025/092</t>
        </is>
      </c>
      <c r="H36" s="26" t="inlineStr">
        <is>
          <t>e-Card</t>
        </is>
      </c>
      <c r="I36" s="26" t="inlineStr">
        <is>
          <t>Set card</t>
        </is>
      </c>
      <c r="J36" s="26" t="inlineStr">
        <is>
          <t>e-Reader era</t>
        </is>
      </c>
      <c r="K36" s="26" t="str"/>
      <c r="L36" s="26" t="inlineStr">
        <is>
          <t>Out of print</t>
        </is>
      </c>
      <c r="M36" s="26" t="inlineStr">
        <is>
          <t>Buy as a single. Use TCGplayer for English, Cardmarket for many European languages, and eBay/Japanese marketplaces for Japanese or scarce printings.</t>
        </is>
      </c>
      <c r="N36" s="26" t="inlineStr">
        <is>
          <t>Needs Level 3 audit</t>
        </is>
      </c>
      <c r="O36" s="26" t="inlineStr">
        <is>
          <t>NEED</t>
        </is>
      </c>
      <c r="P36" s="26" t="str"/>
      <c r="Q36" s="26" t="str"/>
      <c r="R36" s="26" t="str"/>
      <c r="S36" s="26" t="inlineStr">
        <is>
          <t>https://bulbapedia.bulbagarden.net/wiki/Azumarill_(TCG)</t>
        </is>
      </c>
    </row>
    <row r="37">
      <c r="A37" s="26" t="n">
        <v>36</v>
      </c>
      <c r="B37" s="26" t="inlineStr">
        <is>
          <t>Azumarill</t>
        </is>
      </c>
      <c r="C37" s="26" t="inlineStr">
        <is>
          <t>Azumarill</t>
        </is>
      </c>
      <c r="D37" s="26" t="inlineStr">
        <is>
          <t>EX Sandstorm</t>
        </is>
      </c>
      <c r="E37" s="26" t="inlineStr">
        <is>
          <t>30/100</t>
        </is>
      </c>
      <c r="F37" s="26" t="inlineStr">
        <is>
          <t>Miracle of the Desert</t>
        </is>
      </c>
      <c r="G37" s="26" t="inlineStr">
        <is>
          <t>017/053</t>
        </is>
      </c>
      <c r="H37" s="26" t="inlineStr">
        <is>
          <t>EX era</t>
        </is>
      </c>
      <c r="I37" s="26" t="inlineStr">
        <is>
          <t>Set card</t>
        </is>
      </c>
      <c r="J37" s="26" t="str"/>
      <c r="K37" s="26" t="str"/>
      <c r="L37" s="26" t="inlineStr">
        <is>
          <t>Out of print</t>
        </is>
      </c>
      <c r="M37" s="26" t="inlineStr">
        <is>
          <t>Buy as a single. Use TCGplayer for English, Cardmarket for many European languages, and eBay/Japanese marketplaces for Japanese or scarce printings.</t>
        </is>
      </c>
      <c r="N37" s="26" t="inlineStr">
        <is>
          <t>Needs Level 3 audit</t>
        </is>
      </c>
      <c r="O37" s="26" t="inlineStr">
        <is>
          <t>NEED</t>
        </is>
      </c>
      <c r="P37" s="26" t="str"/>
      <c r="Q37" s="26" t="str"/>
      <c r="R37" s="26" t="str"/>
      <c r="S37" s="26" t="inlineStr">
        <is>
          <t>https://bulbapedia.bulbagarden.net/wiki/Azumarill_(TCG)</t>
        </is>
      </c>
    </row>
    <row r="38">
      <c r="A38" s="26" t="n">
        <v>37</v>
      </c>
      <c r="B38" s="26" t="inlineStr">
        <is>
          <t>Azumarill</t>
        </is>
      </c>
      <c r="C38" s="26" t="inlineStr">
        <is>
          <t>Azumarill</t>
        </is>
      </c>
      <c r="D38" s="26" t="inlineStr">
        <is>
          <t>EX Team Rocket Returns</t>
        </is>
      </c>
      <c r="E38" s="26" t="inlineStr">
        <is>
          <t>1/109</t>
        </is>
      </c>
      <c r="F38" s="26" t="inlineStr">
        <is>
          <t>Rocket Gang Strikes Back</t>
        </is>
      </c>
      <c r="G38" s="26" t="inlineStr">
        <is>
          <t>025/084</t>
        </is>
      </c>
      <c r="H38" s="26" t="inlineStr">
        <is>
          <t>EX era</t>
        </is>
      </c>
      <c r="I38" s="26" t="inlineStr">
        <is>
          <t>Holo/set card</t>
        </is>
      </c>
      <c r="J38" s="26" t="str"/>
      <c r="K38" s="26" t="str"/>
      <c r="L38" s="26" t="inlineStr">
        <is>
          <t>Out of print</t>
        </is>
      </c>
      <c r="M38" s="26" t="inlineStr">
        <is>
          <t>Buy as a single. Use TCGplayer for English, Cardmarket for many European languages, and eBay/Japanese marketplaces for Japanese or scarce printings.</t>
        </is>
      </c>
      <c r="N38" s="26" t="inlineStr">
        <is>
          <t>Needs Level 3 audit</t>
        </is>
      </c>
      <c r="O38" s="26" t="inlineStr">
        <is>
          <t>NEED</t>
        </is>
      </c>
      <c r="P38" s="26" t="str"/>
      <c r="Q38" s="26" t="str"/>
      <c r="R38" s="26" t="str"/>
      <c r="S38" s="26" t="inlineStr">
        <is>
          <t>https://bulbapedia.bulbagarden.net/wiki/Azumarill_(TCG)</t>
        </is>
      </c>
    </row>
    <row r="39">
      <c r="A39" s="26" t="n">
        <v>38</v>
      </c>
      <c r="B39" s="26" t="inlineStr">
        <is>
          <t>Azumarill</t>
        </is>
      </c>
      <c r="C39" s="26" t="inlineStr">
        <is>
          <t>Azumarill δ</t>
        </is>
      </c>
      <c r="D39" s="26" t="inlineStr">
        <is>
          <t>EX Delta Species</t>
        </is>
      </c>
      <c r="E39" s="26" t="inlineStr">
        <is>
          <t>19/113</t>
        </is>
      </c>
      <c r="F39" s="26" t="inlineStr">
        <is>
          <t>Holon Research Tower Water Quarter Deck</t>
        </is>
      </c>
      <c r="G39" s="26" t="inlineStr">
        <is>
          <t>006/015</t>
        </is>
      </c>
      <c r="H39" s="26" t="inlineStr">
        <is>
          <t>EX era</t>
        </is>
      </c>
      <c r="I39" s="26" t="inlineStr">
        <is>
          <t>Delta Species</t>
        </is>
      </c>
      <c r="J39" s="26" t="inlineStr">
        <is>
          <t>δ Delta Species</t>
        </is>
      </c>
      <c r="K39" s="26" t="str"/>
      <c r="L39" s="26" t="inlineStr">
        <is>
          <t>Out of print</t>
        </is>
      </c>
      <c r="M39" s="26" t="inlineStr">
        <is>
          <t>Buy as a single. Use TCGplayer for English, Cardmarket for many European languages, and eBay/Japanese marketplaces for Japanese or scarce printings.</t>
        </is>
      </c>
      <c r="N39" s="26" t="inlineStr">
        <is>
          <t>Needs Level 3 audit</t>
        </is>
      </c>
      <c r="O39" s="26" t="inlineStr">
        <is>
          <t>NEED</t>
        </is>
      </c>
      <c r="P39" s="26" t="str"/>
      <c r="Q39" s="26" t="str"/>
      <c r="R39" s="26" t="str"/>
      <c r="S39" s="26" t="inlineStr">
        <is>
          <t>https://bulbapedia.bulbagarden.net/wiki/Azumarill_(TCG)</t>
        </is>
      </c>
    </row>
    <row r="40">
      <c r="A40" s="26" t="n">
        <v>39</v>
      </c>
      <c r="B40" s="26" t="inlineStr">
        <is>
          <t>Azumarill</t>
        </is>
      </c>
      <c r="C40" s="26" t="inlineStr">
        <is>
          <t>Azumarill</t>
        </is>
      </c>
      <c r="D40" s="26" t="inlineStr">
        <is>
          <t>EX Delta Species</t>
        </is>
      </c>
      <c r="E40" s="26" t="inlineStr">
        <is>
          <t>114/113</t>
        </is>
      </c>
      <c r="F40" s="26" t="inlineStr">
        <is>
          <t>PCG-P Promotional cards</t>
        </is>
      </c>
      <c r="G40" s="26" t="inlineStr">
        <is>
          <t>077/PCG-P</t>
        </is>
      </c>
      <c r="H40" s="26" t="inlineStr">
        <is>
          <t>EX era</t>
        </is>
      </c>
      <c r="I40" s="26" t="inlineStr">
        <is>
          <t>Secret/Box Topper + Japanese promo</t>
        </is>
      </c>
      <c r="J40" s="26" t="inlineStr">
        <is>
          <t>Secret rare / Japanese PCG-P promo / DVD-VHS promo origin</t>
        </is>
      </c>
      <c r="K40" s="26" t="str"/>
      <c r="L40" s="26" t="inlineStr">
        <is>
          <t>Out of print</t>
        </is>
      </c>
      <c r="M40" s="26" t="inlineStr">
        <is>
          <t>Do not chase sealed product. Buy the English box topper or Japanese 077/PCG-P as singles; verify photos and card number.</t>
        </is>
      </c>
      <c r="N40" s="26" t="inlineStr">
        <is>
          <t>Needs Level 3 audit</t>
        </is>
      </c>
      <c r="O40" s="26" t="inlineStr">
        <is>
          <t>NEED</t>
        </is>
      </c>
      <c r="P40" s="26" t="str"/>
      <c r="Q40" s="26" t="str"/>
      <c r="R40" s="26" t="str"/>
      <c r="S40" s="26" t="inlineStr">
        <is>
          <t>https://bulbapedia.bulbagarden.net/wiki/Azumarill_(TCG)</t>
        </is>
      </c>
    </row>
    <row r="41">
      <c r="A41" s="26" t="n">
        <v>40</v>
      </c>
      <c r="B41" s="26" t="inlineStr">
        <is>
          <t>Azumarill</t>
        </is>
      </c>
      <c r="C41" s="26" t="inlineStr">
        <is>
          <t>Azumarill</t>
        </is>
      </c>
      <c r="D41" s="26" t="inlineStr">
        <is>
          <t>Diamond &amp; Pearl</t>
        </is>
      </c>
      <c r="E41" s="26" t="inlineStr">
        <is>
          <t>18/130</t>
        </is>
      </c>
      <c r="F41" s="26" t="inlineStr">
        <is>
          <t>Space-Time Creation</t>
        </is>
      </c>
      <c r="G41" s="26" t="str"/>
      <c r="H41" s="26" t="inlineStr">
        <is>
          <t>Diamond &amp; Pearl</t>
        </is>
      </c>
      <c r="I41" s="26" t="inlineStr">
        <is>
          <t>Set card</t>
        </is>
      </c>
      <c r="J41" s="26" t="str"/>
      <c r="K41" s="26" t="str"/>
      <c r="L41" s="26" t="inlineStr">
        <is>
          <t>Out of print</t>
        </is>
      </c>
      <c r="M41" s="26" t="inlineStr">
        <is>
          <t>Buy as a single. Use TCGplayer for English, Cardmarket for many European languages, and eBay/Japanese marketplaces for Japanese or scarce printings.</t>
        </is>
      </c>
      <c r="N41" s="26" t="inlineStr">
        <is>
          <t>Needs Level 3 audit</t>
        </is>
      </c>
      <c r="O41" s="26" t="inlineStr">
        <is>
          <t>NEED</t>
        </is>
      </c>
      <c r="P41" s="26" t="str"/>
      <c r="Q41" s="26" t="str"/>
      <c r="R41" s="26" t="str"/>
      <c r="S41" s="26" t="inlineStr">
        <is>
          <t>https://bulbapedia.bulbagarden.net/wiki/Azumarill_(TCG)</t>
        </is>
      </c>
    </row>
    <row r="42">
      <c r="A42" s="26" t="n">
        <v>41</v>
      </c>
      <c r="B42" s="26" t="inlineStr">
        <is>
          <t>Azumarill</t>
        </is>
      </c>
      <c r="C42" s="26" t="inlineStr">
        <is>
          <t>Azumarill</t>
        </is>
      </c>
      <c r="D42" s="26" t="inlineStr">
        <is>
          <t>HeartGold &amp; SoulSilver</t>
        </is>
      </c>
      <c r="E42" s="26" t="inlineStr">
        <is>
          <t>2/123</t>
        </is>
      </c>
      <c r="F42" s="26" t="inlineStr">
        <is>
          <t>SoulSilver Collection</t>
        </is>
      </c>
      <c r="G42" s="26" t="inlineStr">
        <is>
          <t>025/070</t>
        </is>
      </c>
      <c r="H42" s="26" t="inlineStr">
        <is>
          <t>HGSS</t>
        </is>
      </c>
      <c r="I42" s="26" t="inlineStr">
        <is>
          <t>Holo/set card</t>
        </is>
      </c>
      <c r="J42" s="26" t="str"/>
      <c r="K42" s="26" t="str"/>
      <c r="L42" s="26" t="inlineStr">
        <is>
          <t>Out of print</t>
        </is>
      </c>
      <c r="M42" s="26" t="inlineStr">
        <is>
          <t>Buy as a single. Use TCGplayer for English, Cardmarket for many European languages, and eBay/Japanese marketplaces for Japanese or scarce printings.</t>
        </is>
      </c>
      <c r="N42" s="26" t="inlineStr">
        <is>
          <t>Needs Level 3 audit</t>
        </is>
      </c>
      <c r="O42" s="26" t="inlineStr">
        <is>
          <t>NEED</t>
        </is>
      </c>
      <c r="P42" s="26" t="str"/>
      <c r="Q42" s="26" t="str"/>
      <c r="R42" s="26" t="str"/>
      <c r="S42" s="26" t="inlineStr">
        <is>
          <t>https://bulbapedia.bulbagarden.net/wiki/Azumarill_(TCG)</t>
        </is>
      </c>
    </row>
    <row r="43">
      <c r="A43" s="26" t="n">
        <v>42</v>
      </c>
      <c r="B43" s="26" t="inlineStr">
        <is>
          <t>Azumarill</t>
        </is>
      </c>
      <c r="C43" s="26" t="inlineStr">
        <is>
          <t>Azumarill</t>
        </is>
      </c>
      <c r="D43" s="26" t="inlineStr">
        <is>
          <t>Boundaries Crossed</t>
        </is>
      </c>
      <c r="E43" s="26" t="inlineStr">
        <is>
          <t>37/149</t>
        </is>
      </c>
      <c r="F43" s="26" t="inlineStr">
        <is>
          <t>Freeze Bolt</t>
        </is>
      </c>
      <c r="G43" s="26" t="inlineStr">
        <is>
          <t>016/059</t>
        </is>
      </c>
      <c r="H43" s="26" t="inlineStr">
        <is>
          <t>Black &amp; White</t>
        </is>
      </c>
      <c r="I43" s="26" t="inlineStr">
        <is>
          <t>Set card</t>
        </is>
      </c>
      <c r="J43" s="26" t="str"/>
      <c r="K43" s="26" t="str"/>
      <c r="L43" s="26" t="inlineStr">
        <is>
          <t>Out of print</t>
        </is>
      </c>
      <c r="M43" s="26" t="inlineStr">
        <is>
          <t>Buy as a single. Use TCGplayer for English, Cardmarket for many European languages, and eBay/Japanese marketplaces for Japanese or scarce printings.</t>
        </is>
      </c>
      <c r="N43" s="26" t="inlineStr">
        <is>
          <t>Needs Level 3 audit</t>
        </is>
      </c>
      <c r="O43" s="26" t="inlineStr">
        <is>
          <t>NEED</t>
        </is>
      </c>
      <c r="P43" s="26" t="str"/>
      <c r="Q43" s="26" t="str"/>
      <c r="R43" s="26" t="str"/>
      <c r="S43" s="26" t="inlineStr">
        <is>
          <t>https://bulbapedia.bulbagarden.net/wiki/Azumarill_(TCG)</t>
        </is>
      </c>
    </row>
    <row r="44">
      <c r="A44" s="26" t="n">
        <v>43</v>
      </c>
      <c r="B44" s="26" t="inlineStr">
        <is>
          <t>Azumarill</t>
        </is>
      </c>
      <c r="C44" s="26" t="inlineStr">
        <is>
          <t>Azumarill</t>
        </is>
      </c>
      <c r="D44" s="26" t="str"/>
      <c r="E44" s="26" t="str"/>
      <c r="F44" s="26" t="inlineStr">
        <is>
          <t>Everyone's Exciting Battle</t>
        </is>
      </c>
      <c r="G44" s="26" t="inlineStr">
        <is>
          <t>012/047</t>
        </is>
      </c>
      <c r="H44" s="26" t="inlineStr">
        <is>
          <t>Black &amp; White</t>
        </is>
      </c>
      <c r="I44" s="26" t="inlineStr">
        <is>
          <t>Japanese special product</t>
        </is>
      </c>
      <c r="J44" s="26" t="inlineStr">
        <is>
          <t>Japanese special release</t>
        </is>
      </c>
      <c r="K44" s="26" t="str"/>
      <c r="L44" s="26" t="inlineStr">
        <is>
          <t>Out of print</t>
        </is>
      </c>
      <c r="M44" s="26" t="inlineStr">
        <is>
          <t>Buy as a single. Use TCGplayer for English, Cardmarket for many European languages, and eBay/Japanese marketplaces for Japanese or scarce printings.</t>
        </is>
      </c>
      <c r="N44" s="26" t="inlineStr">
        <is>
          <t>Needs Level 3 audit</t>
        </is>
      </c>
      <c r="O44" s="26" t="inlineStr">
        <is>
          <t>NEED</t>
        </is>
      </c>
      <c r="P44" s="26" t="str"/>
      <c r="Q44" s="26" t="str"/>
      <c r="R44" s="26" t="str"/>
      <c r="S44" s="26" t="inlineStr">
        <is>
          <t>https://bulbapedia.bulbagarden.net/wiki/Azumarill_(TCG)</t>
        </is>
      </c>
    </row>
    <row r="45">
      <c r="A45" s="26" t="n">
        <v>44</v>
      </c>
      <c r="B45" s="26" t="inlineStr">
        <is>
          <t>Azumarill</t>
        </is>
      </c>
      <c r="C45" s="26" t="inlineStr">
        <is>
          <t>Azumarill</t>
        </is>
      </c>
      <c r="D45" s="26" t="inlineStr">
        <is>
          <t>Primal Clash</t>
        </is>
      </c>
      <c r="E45" s="26" t="inlineStr">
        <is>
          <t>103/160</t>
        </is>
      </c>
      <c r="F45" s="26" t="inlineStr">
        <is>
          <t>Tidal Storm</t>
        </is>
      </c>
      <c r="G45" s="26" t="inlineStr">
        <is>
          <t>048/070</t>
        </is>
      </c>
      <c r="H45" s="26" t="inlineStr">
        <is>
          <t>XY</t>
        </is>
      </c>
      <c r="I45" s="26" t="inlineStr">
        <is>
          <t>Set card</t>
        </is>
      </c>
      <c r="J45" s="26" t="str"/>
      <c r="K45" s="26" t="str"/>
      <c r="L45" s="26" t="inlineStr">
        <is>
          <t>Out of print</t>
        </is>
      </c>
      <c r="M45" s="26" t="inlineStr">
        <is>
          <t>Buy as a single. Use TCGplayer for English, Cardmarket for many European languages, and eBay/Japanese marketplaces for Japanese or scarce printings.</t>
        </is>
      </c>
      <c r="N45" s="26" t="inlineStr">
        <is>
          <t>Needs Level 3 audit</t>
        </is>
      </c>
      <c r="O45" s="26" t="inlineStr">
        <is>
          <t>NEED</t>
        </is>
      </c>
      <c r="P45" s="26" t="str"/>
      <c r="Q45" s="26" t="str"/>
      <c r="R45" s="26" t="str"/>
      <c r="S45" s="26" t="inlineStr">
        <is>
          <t>https://bulbapedia.bulbagarden.net/wiki/Azumarill_(TCG)</t>
        </is>
      </c>
    </row>
    <row r="46">
      <c r="A46" s="26" t="n">
        <v>45</v>
      </c>
      <c r="B46" s="26" t="inlineStr">
        <is>
          <t>Azumarill</t>
        </is>
      </c>
      <c r="C46" s="26" t="inlineStr">
        <is>
          <t>Azumarill</t>
        </is>
      </c>
      <c r="D46" s="26" t="inlineStr">
        <is>
          <t>Primal Clash</t>
        </is>
      </c>
      <c r="E46" s="26" t="inlineStr">
        <is>
          <t>104/160</t>
        </is>
      </c>
      <c r="F46" s="26" t="inlineStr">
        <is>
          <t>Tidal Storm</t>
        </is>
      </c>
      <c r="G46" s="26" t="inlineStr">
        <is>
          <t>049/070</t>
        </is>
      </c>
      <c r="H46" s="26" t="inlineStr">
        <is>
          <t>XY</t>
        </is>
      </c>
      <c r="I46" s="26" t="inlineStr">
        <is>
          <t>Set card</t>
        </is>
      </c>
      <c r="J46" s="26" t="inlineStr">
        <is>
          <t>Ancient Trait era</t>
        </is>
      </c>
      <c r="K46" s="26" t="str"/>
      <c r="L46" s="26" t="inlineStr">
        <is>
          <t>Out of print</t>
        </is>
      </c>
      <c r="M46" s="26" t="inlineStr">
        <is>
          <t>Buy as a single. Use TCGplayer for English, Cardmarket for many European languages, and eBay/Japanese marketplaces for Japanese or scarce printings.</t>
        </is>
      </c>
      <c r="N46" s="26" t="inlineStr">
        <is>
          <t>Needs Level 3 audit</t>
        </is>
      </c>
      <c r="O46" s="26" t="inlineStr">
        <is>
          <t>NEED</t>
        </is>
      </c>
      <c r="P46" s="26" t="str"/>
      <c r="Q46" s="26" t="str"/>
      <c r="R46" s="26" t="str"/>
      <c r="S46" s="26" t="inlineStr">
        <is>
          <t>https://bulbapedia.bulbagarden.net/wiki/Azumarill_(TCG)</t>
        </is>
      </c>
    </row>
    <row r="47">
      <c r="A47" s="26" t="n">
        <v>46</v>
      </c>
      <c r="B47" s="26" t="inlineStr">
        <is>
          <t>Azumarill</t>
        </is>
      </c>
      <c r="C47" s="26" t="inlineStr">
        <is>
          <t>Azumarill</t>
        </is>
      </c>
      <c r="D47" s="26" t="inlineStr">
        <is>
          <t>Steam Siege</t>
        </is>
      </c>
      <c r="E47" s="26" t="inlineStr">
        <is>
          <t>77/114</t>
        </is>
      </c>
      <c r="F47" s="26" t="inlineStr">
        <is>
          <t>Cruel Traitor</t>
        </is>
      </c>
      <c r="G47" s="26" t="inlineStr">
        <is>
          <t>037/054</t>
        </is>
      </c>
      <c r="H47" s="26" t="inlineStr">
        <is>
          <t>XY</t>
        </is>
      </c>
      <c r="I47" s="26" t="inlineStr">
        <is>
          <t>Set card</t>
        </is>
      </c>
      <c r="J47" s="26" t="inlineStr">
        <is>
          <t>Dual-type era</t>
        </is>
      </c>
      <c r="K47" s="26" t="str"/>
      <c r="L47" s="26" t="inlineStr">
        <is>
          <t>Out of print</t>
        </is>
      </c>
      <c r="M47" s="26" t="inlineStr">
        <is>
          <t>Buy as a single. Use TCGplayer for English, Cardmarket for many European languages, and eBay/Japanese marketplaces for Japanese or scarce printings.</t>
        </is>
      </c>
      <c r="N47" s="26" t="inlineStr">
        <is>
          <t>Needs Level 3 audit</t>
        </is>
      </c>
      <c r="O47" s="26" t="inlineStr">
        <is>
          <t>NEED</t>
        </is>
      </c>
      <c r="P47" s="26" t="str"/>
      <c r="Q47" s="26" t="str"/>
      <c r="R47" s="26" t="str"/>
      <c r="S47" s="26" t="inlineStr">
        <is>
          <t>https://bulbapedia.bulbagarden.net/wiki/Azumarill_(TCG)</t>
        </is>
      </c>
    </row>
    <row r="48">
      <c r="A48" s="26" t="n">
        <v>47</v>
      </c>
      <c r="B48" s="26" t="inlineStr">
        <is>
          <t>Azumarill</t>
        </is>
      </c>
      <c r="C48" s="26" t="inlineStr">
        <is>
          <t>Azumarill</t>
        </is>
      </c>
      <c r="D48" s="26" t="inlineStr">
        <is>
          <t>Burning Shadows</t>
        </is>
      </c>
      <c r="E48" s="26" t="inlineStr">
        <is>
          <t>35/147</t>
        </is>
      </c>
      <c r="F48" s="26" t="inlineStr">
        <is>
          <t>To Have Seen the Battle Rainbow</t>
        </is>
      </c>
      <c r="G48" s="26" t="inlineStr">
        <is>
          <t>020/051</t>
        </is>
      </c>
      <c r="H48" s="26" t="inlineStr">
        <is>
          <t>Sun &amp; Moon</t>
        </is>
      </c>
      <c r="I48" s="26" t="inlineStr">
        <is>
          <t>Set card</t>
        </is>
      </c>
      <c r="J48" s="26" t="str"/>
      <c r="K48" s="26" t="str"/>
      <c r="L48" s="26" t="inlineStr">
        <is>
          <t>Out of print</t>
        </is>
      </c>
      <c r="M48" s="26" t="inlineStr">
        <is>
          <t>Buy as a single. Use TCGplayer for English, Cardmarket for many European languages, and eBay/Japanese marketplaces for Japanese or scarce printings.</t>
        </is>
      </c>
      <c r="N48" s="26" t="inlineStr">
        <is>
          <t>Needs Level 3 audit</t>
        </is>
      </c>
      <c r="O48" s="26" t="inlineStr">
        <is>
          <t>NEED</t>
        </is>
      </c>
      <c r="P48" s="26" t="str"/>
      <c r="Q48" s="26" t="str"/>
      <c r="R48" s="26" t="str"/>
      <c r="S48" s="26" t="inlineStr">
        <is>
          <t>https://bulbapedia.bulbagarden.net/wiki/Azumarill_(TCG)</t>
        </is>
      </c>
    </row>
    <row r="49">
      <c r="A49" s="26" t="n">
        <v>48</v>
      </c>
      <c r="B49" s="26" t="inlineStr">
        <is>
          <t>Azumarill</t>
        </is>
      </c>
      <c r="C49" s="26" t="inlineStr">
        <is>
          <t>Azumarill</t>
        </is>
      </c>
      <c r="D49" s="26" t="inlineStr">
        <is>
          <t>Lost Thunder</t>
        </is>
      </c>
      <c r="E49" s="26" t="inlineStr">
        <is>
          <t>136/214</t>
        </is>
      </c>
      <c r="F49" s="26" t="inlineStr">
        <is>
          <t>Super-Burst Impact</t>
        </is>
      </c>
      <c r="G49" s="26" t="inlineStr">
        <is>
          <t>063/095</t>
        </is>
      </c>
      <c r="H49" s="26" t="inlineStr">
        <is>
          <t>Sun &amp; Moon</t>
        </is>
      </c>
      <c r="I49" s="26" t="inlineStr">
        <is>
          <t>Set card</t>
        </is>
      </c>
      <c r="J49" s="26" t="str"/>
      <c r="K49" s="26" t="str"/>
      <c r="L49" s="26" t="inlineStr">
        <is>
          <t>Out of print</t>
        </is>
      </c>
      <c r="M49" s="26" t="inlineStr">
        <is>
          <t>Buy as a single. Use TCGplayer for English, Cardmarket for many European languages, and eBay/Japanese marketplaces for Japanese or scarce printings.</t>
        </is>
      </c>
      <c r="N49" s="26" t="inlineStr">
        <is>
          <t>Needs Level 3 audit</t>
        </is>
      </c>
      <c r="O49" s="26" t="inlineStr">
        <is>
          <t>NEED</t>
        </is>
      </c>
      <c r="P49" s="26" t="str"/>
      <c r="Q49" s="26" t="str"/>
      <c r="R49" s="26" t="str"/>
      <c r="S49" s="26" t="inlineStr">
        <is>
          <t>https://bulbapedia.bulbagarden.net/wiki/Azumarill_(TCG)</t>
        </is>
      </c>
    </row>
    <row r="50">
      <c r="A50" s="26" t="n">
        <v>49</v>
      </c>
      <c r="B50" s="26" t="inlineStr">
        <is>
          <t>Azumarill</t>
        </is>
      </c>
      <c r="C50" s="26" t="inlineStr">
        <is>
          <t>Azumarill</t>
        </is>
      </c>
      <c r="D50" s="26" t="inlineStr">
        <is>
          <t>Fusion Strike</t>
        </is>
      </c>
      <c r="E50" s="26" t="inlineStr">
        <is>
          <t>059/264</t>
        </is>
      </c>
      <c r="F50" s="26" t="inlineStr">
        <is>
          <t>Eevee Heroes</t>
        </is>
      </c>
      <c r="G50" s="26" t="inlineStr">
        <is>
          <t>017/069</t>
        </is>
      </c>
      <c r="H50" s="26" t="inlineStr">
        <is>
          <t>Sword &amp; Shield</t>
        </is>
      </c>
      <c r="I50" s="26" t="inlineStr">
        <is>
          <t>Set card</t>
        </is>
      </c>
      <c r="J50" s="26" t="str"/>
      <c r="K50" s="26" t="str"/>
      <c r="L50" s="26" t="inlineStr">
        <is>
          <t>Out of print</t>
        </is>
      </c>
      <c r="M50" s="26" t="inlineStr">
        <is>
          <t>Buy as a single. Use TCGplayer for English, Cardmarket for many European languages, and eBay/Japanese marketplaces for Japanese or scarce printings.</t>
        </is>
      </c>
      <c r="N50" s="26" t="inlineStr">
        <is>
          <t>Needs Level 3 audit</t>
        </is>
      </c>
      <c r="O50" s="26" t="inlineStr">
        <is>
          <t>NEED</t>
        </is>
      </c>
      <c r="P50" s="26" t="str"/>
      <c r="Q50" s="26" t="str"/>
      <c r="R50" s="26" t="str"/>
      <c r="S50" s="26" t="inlineStr">
        <is>
          <t>https://bulbapedia.bulbagarden.net/wiki/Azumarill_(TCG)</t>
        </is>
      </c>
    </row>
    <row r="51">
      <c r="A51" s="26" t="n">
        <v>50</v>
      </c>
      <c r="B51" s="26" t="inlineStr">
        <is>
          <t>Azumarill</t>
        </is>
      </c>
      <c r="C51" s="26" t="inlineStr">
        <is>
          <t>Azumarill</t>
        </is>
      </c>
      <c r="D51" s="26" t="inlineStr">
        <is>
          <t>Paldea Evolved</t>
        </is>
      </c>
      <c r="E51" s="26" t="inlineStr">
        <is>
          <t>045/193</t>
        </is>
      </c>
      <c r="F51" s="26" t="inlineStr">
        <is>
          <t>Snow Hazard</t>
        </is>
      </c>
      <c r="G51" s="26" t="inlineStr">
        <is>
          <t>017/071</t>
        </is>
      </c>
      <c r="H51" s="26" t="inlineStr">
        <is>
          <t>Scarlet &amp; Violet</t>
        </is>
      </c>
      <c r="I51" s="26" t="inlineStr">
        <is>
          <t>Set card</t>
        </is>
      </c>
      <c r="J51" s="26" t="inlineStr">
        <is>
          <t>Generations Start Deck printing also exists</t>
        </is>
      </c>
      <c r="K51" s="26" t="str"/>
      <c r="L51" s="26" t="inlineStr">
        <is>
          <t>Out of print</t>
        </is>
      </c>
      <c r="M51" s="26" t="inlineStr">
        <is>
          <t>Buy as a single. Use TCGplayer for English, Cardmarket for many European languages, and eBay/Japanese marketplaces for Japanese or scarce printings.</t>
        </is>
      </c>
      <c r="N51" s="26" t="inlineStr">
        <is>
          <t>Needs Level 3 audit</t>
        </is>
      </c>
      <c r="O51" s="26" t="inlineStr">
        <is>
          <t>NEED</t>
        </is>
      </c>
      <c r="P51" s="26" t="str"/>
      <c r="Q51" s="26" t="str"/>
      <c r="R51" s="26" t="str"/>
      <c r="S51" s="26" t="inlineStr">
        <is>
          <t>https://bulbapedia.bulbagarden.net/wiki/Azumarill_(TCG)</t>
        </is>
      </c>
    </row>
    <row r="52">
      <c r="A52" s="26" t="n">
        <v>51</v>
      </c>
      <c r="B52" s="26" t="inlineStr">
        <is>
          <t>Azumarill</t>
        </is>
      </c>
      <c r="C52" s="26" t="inlineStr">
        <is>
          <t>Azumarill</t>
        </is>
      </c>
      <c r="D52" s="26" t="inlineStr">
        <is>
          <t>Temporal Forces</t>
        </is>
      </c>
      <c r="E52" s="26" t="inlineStr">
        <is>
          <t>065/162</t>
        </is>
      </c>
      <c r="F52" s="26" t="inlineStr">
        <is>
          <t>Wild Force</t>
        </is>
      </c>
      <c r="G52" s="26" t="inlineStr">
        <is>
          <t>027/071</t>
        </is>
      </c>
      <c r="H52" s="26" t="inlineStr">
        <is>
          <t>Scarlet &amp; Violet</t>
        </is>
      </c>
      <c r="I52" s="26" t="inlineStr">
        <is>
          <t>Set card</t>
        </is>
      </c>
      <c r="J52" s="26" t="str"/>
      <c r="K52" s="26" t="str"/>
      <c r="L52" s="26" t="inlineStr">
        <is>
          <t>Out of print</t>
        </is>
      </c>
      <c r="M52" s="26" t="inlineStr">
        <is>
          <t>Buy as a single. Use TCGplayer for English, Cardmarket for many European languages, and eBay/Japanese marketplaces for Japanese or scarce printings.</t>
        </is>
      </c>
      <c r="N52" s="26" t="inlineStr">
        <is>
          <t>Needs Level 3 audit</t>
        </is>
      </c>
      <c r="O52" s="26" t="inlineStr">
        <is>
          <t>NEED</t>
        </is>
      </c>
      <c r="P52" s="26" t="str"/>
      <c r="Q52" s="26" t="str"/>
      <c r="R52" s="26" t="str"/>
      <c r="S52" s="26" t="inlineStr">
        <is>
          <t>https://bulbapedia.bulbagarden.net/wiki/Azumarill_(TCG)</t>
        </is>
      </c>
    </row>
    <row r="53">
      <c r="A53" s="26" t="n">
        <v>52</v>
      </c>
      <c r="B53" s="26" t="inlineStr">
        <is>
          <t>Azumarill</t>
        </is>
      </c>
      <c r="C53" s="26" t="inlineStr">
        <is>
          <t>Azumarill</t>
        </is>
      </c>
      <c r="D53" s="26" t="inlineStr">
        <is>
          <t>Stellar Crown</t>
        </is>
      </c>
      <c r="E53" s="26" t="inlineStr">
        <is>
          <t>034/142</t>
        </is>
      </c>
      <c r="F53" s="26" t="inlineStr">
        <is>
          <t>Pokémon Card Game Battle Academy</t>
        </is>
      </c>
      <c r="G53" s="26" t="inlineStr">
        <is>
          <t>014/066</t>
        </is>
      </c>
      <c r="H53" s="26" t="inlineStr">
        <is>
          <t>Scarlet &amp; Violet</t>
        </is>
      </c>
      <c r="I53" s="26" t="inlineStr">
        <is>
          <t>Set/deck counterpart</t>
        </is>
      </c>
      <c r="J53" s="26" t="inlineStr">
        <is>
          <t>Battle Academy Japanese release</t>
        </is>
      </c>
      <c r="K53" s="26" t="str"/>
      <c r="L53" s="26" t="inlineStr">
        <is>
          <t>Out of print</t>
        </is>
      </c>
      <c r="M53" s="26" t="inlineStr">
        <is>
          <t>Buy as a single. Use TCGplayer for English, Cardmarket for many European languages, and eBay/Japanese marketplaces for Japanese or scarce printings.</t>
        </is>
      </c>
      <c r="N53" s="26" t="inlineStr">
        <is>
          <t>Needs Level 3 audit</t>
        </is>
      </c>
      <c r="O53" s="26" t="inlineStr">
        <is>
          <t>NEED</t>
        </is>
      </c>
      <c r="P53" s="26" t="str"/>
      <c r="Q53" s="26" t="str"/>
      <c r="R53" s="26" t="str"/>
      <c r="S53" s="26" t="inlineStr">
        <is>
          <t>https://bulbapedia.bulbagarden.net/wiki/Azumarill_(TCG)</t>
        </is>
      </c>
    </row>
    <row r="54">
      <c r="A54" s="26" t="n">
        <v>53</v>
      </c>
      <c r="B54" s="26" t="inlineStr">
        <is>
          <t>Azumarill</t>
        </is>
      </c>
      <c r="C54" s="26" t="inlineStr">
        <is>
          <t>Azumarill</t>
        </is>
      </c>
      <c r="D54" s="26" t="inlineStr">
        <is>
          <t>Surging Sparks</t>
        </is>
      </c>
      <c r="E54" s="26" t="inlineStr">
        <is>
          <t>074/191</t>
        </is>
      </c>
      <c r="F54" s="26" t="inlineStr">
        <is>
          <t>Stellar Tera Type Starter Set Sylveon ex</t>
        </is>
      </c>
      <c r="G54" s="26" t="inlineStr">
        <is>
          <t>004/022</t>
        </is>
      </c>
      <c r="H54" s="26" t="inlineStr">
        <is>
          <t>Scarlet &amp; Violet</t>
        </is>
      </c>
      <c r="I54" s="26" t="inlineStr">
        <is>
          <t>Set/deck counterpart</t>
        </is>
      </c>
      <c r="J54" s="26" t="inlineStr">
        <is>
          <t>Start Deck 100 Battle Collection printing also exists</t>
        </is>
      </c>
      <c r="K54" s="26" t="str"/>
      <c r="L54" s="26" t="inlineStr">
        <is>
          <t>Out of print</t>
        </is>
      </c>
      <c r="M54" s="26" t="inlineStr">
        <is>
          <t>Buy as a single. Use TCGplayer for English, Cardmarket for many European languages, and eBay/Japanese marketplaces for Japanese or scarce printings.</t>
        </is>
      </c>
      <c r="N54" s="26" t="inlineStr">
        <is>
          <t>Needs Level 3 audit</t>
        </is>
      </c>
      <c r="O54" s="26" t="inlineStr">
        <is>
          <t>NEED</t>
        </is>
      </c>
      <c r="P54" s="26" t="str"/>
      <c r="Q54" s="26" t="str"/>
      <c r="R54" s="26" t="str"/>
      <c r="S54" s="26" t="inlineStr">
        <is>
          <t>https://bulbapedia.bulbagarden.net/wiki/Azumarill_(TCG)</t>
        </is>
      </c>
    </row>
    <row r="55">
      <c r="A55" s="26" t="n">
        <v>54</v>
      </c>
      <c r="B55" s="26" t="inlineStr">
        <is>
          <t>Azumarill</t>
        </is>
      </c>
      <c r="C55" s="26" t="inlineStr">
        <is>
          <t>Light Azumarill</t>
        </is>
      </c>
      <c r="D55" s="26" t="inlineStr">
        <is>
          <t>Neo Destiny</t>
        </is>
      </c>
      <c r="E55" s="26" t="inlineStr">
        <is>
          <t>13/105</t>
        </is>
      </c>
      <c r="F55" s="26" t="inlineStr">
        <is>
          <t>Darkness, and to Light...</t>
        </is>
      </c>
      <c r="G55" s="26" t="str"/>
      <c r="H55" s="26" t="inlineStr">
        <is>
          <t>Neo</t>
        </is>
      </c>
      <c r="I55" s="26" t="inlineStr">
        <is>
          <t>Light Pokémon / artist card</t>
        </is>
      </c>
      <c r="J55" s="26" t="inlineStr">
        <is>
          <t>Light Pokémon; Yuka Morii clay</t>
        </is>
      </c>
      <c r="K55" s="26" t="inlineStr">
        <is>
          <t>Yuka Morii</t>
        </is>
      </c>
      <c r="L55" s="26" t="inlineStr">
        <is>
          <t>Out of print</t>
        </is>
      </c>
      <c r="M55" s="26" t="inlineStr">
        <is>
          <t>Buy raw single. Track 1st Edition and Unlimited separately. Compare condition carefully; this is a higher-cost target.</t>
        </is>
      </c>
      <c r="N55" s="26" t="inlineStr">
        <is>
          <t>Needs Level 3 audit</t>
        </is>
      </c>
      <c r="O55" s="26" t="inlineStr">
        <is>
          <t>NEED</t>
        </is>
      </c>
      <c r="P55" s="26" t="str"/>
      <c r="Q55" s="26" t="str"/>
      <c r="R55" s="26" t="str"/>
      <c r="S55" s="26" t="inlineStr">
        <is>
          <t>https://bulbapedia.bulbagarden.net/wiki/Azumarill_(TCG)</t>
        </is>
      </c>
    </row>
    <row r="56">
      <c r="A56" s="26" t="n">
        <v>55</v>
      </c>
      <c r="B56" s="26" t="inlineStr">
        <is>
          <t>Azumarill</t>
        </is>
      </c>
      <c r="C56" s="26" t="inlineStr">
        <is>
          <t>Azumarill</t>
        </is>
      </c>
      <c r="D56" s="26" t="inlineStr">
        <is>
          <t>Ascended Heroes</t>
        </is>
      </c>
      <c r="E56" s="26" t="inlineStr">
        <is>
          <t>084/217</t>
        </is>
      </c>
      <c r="F56" s="26" t="inlineStr">
        <is>
          <t>Start Deck 100 Battle Collection</t>
        </is>
      </c>
      <c r="G56" s="26" t="inlineStr">
        <is>
          <t>297/742</t>
        </is>
      </c>
      <c r="H56" s="26" t="inlineStr">
        <is>
          <t>Mega Evolution era</t>
        </is>
      </c>
      <c r="I56" s="26" t="inlineStr">
        <is>
          <t>Set card</t>
        </is>
      </c>
      <c r="J56" s="26" t="inlineStr">
        <is>
          <t>Current-era release</t>
        </is>
      </c>
      <c r="K56" s="26" t="str"/>
      <c r="L56" s="26" t="inlineStr">
        <is>
          <t>Current sealed possible; singles still recommended</t>
        </is>
      </c>
      <c r="M56" s="26" t="inlineStr">
        <is>
          <t>Current set: packs are possible, but singles are the cheaper route for a species collection.</t>
        </is>
      </c>
      <c r="N56" s="26" t="inlineStr">
        <is>
          <t>Needs Level 3 audit</t>
        </is>
      </c>
      <c r="O56" s="26" t="inlineStr">
        <is>
          <t>NEED</t>
        </is>
      </c>
      <c r="P56" s="26" t="str"/>
      <c r="Q56" s="26" t="str"/>
      <c r="R56" s="26" t="str"/>
      <c r="S56" s="26" t="inlineStr">
        <is>
          <t>https://bulbapedia.bulbagarden.net/wiki/Azumarill_(TCG)</t>
        </is>
      </c>
    </row>
  </sheetData>
  <conditionalFormatting sqref="O2:O56">
    <cfRule type="expression" priority="1" dxfId="0">
      <formula>O2="OWNED"</formula>
    </cfRule>
    <cfRule type="expression" priority="2" dxfId="1">
      <formula>O2="ORDERED"</formula>
    </cfRule>
    <cfRule type="expression" priority="3" dxfId="2">
      <formula>O2="VERIFY"</formula>
    </cfRule>
  </conditionalFormatting>
  <conditionalFormatting sqref="J2:J56">
    <cfRule type="expression" priority="4" dxfId="3">
      <formula>ISNUMBER(SEARCH("Asako Ito",J2))</formula>
    </cfRule>
    <cfRule type="expression" priority="5" dxfId="4">
      <formula>ISNUMBER(SEARCH("McDonald",J2))</formula>
    </cfRule>
  </conditionalFormatting>
  <dataValidations count="2">
    <dataValidation sqref="O2:O56" showDropDown="0" showInputMessage="0" showErrorMessage="0" allowBlank="0" type="list">
      <formula1>"NEED,OWNED,ORDERED,VERIFY,SKIP"</formula1>
    </dataValidation>
    <dataValidation sqref="N2:N56" showDropDown="0" showInputMessage="0" showErrorMessage="0" allowBlank="0" type="list">
      <formula1>"Needs Level 3 audit,Verified complete,Possible variant - verify"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style="37" min="1" max="1"/>
    <col width="35" customWidth="1" style="37" min="2" max="2"/>
    <col width="42" customWidth="1" style="37" min="3" max="3"/>
    <col width="55" customWidth="1" style="37" min="4" max="4"/>
  </cols>
  <sheetData>
    <row r="1">
      <c r="A1" s="22" t="inlineStr">
        <is>
          <t>Situation</t>
        </is>
      </c>
      <c r="B1" s="22" t="inlineStr">
        <is>
          <t>Best route</t>
        </is>
      </c>
      <c r="C1" s="22" t="inlineStr">
        <is>
          <t>Search format</t>
        </is>
      </c>
      <c r="D1" s="22" t="inlineStr">
        <is>
          <t>Why / caution</t>
        </is>
      </c>
    </row>
    <row r="2">
      <c r="A2" s="26" t="inlineStr">
        <is>
          <t>Current set card</t>
        </is>
      </c>
      <c r="B2" s="26" t="inlineStr">
        <is>
          <t>Local card shop, TCGplayer, eBay</t>
        </is>
      </c>
      <c r="C2" s="26" t="inlineStr">
        <is>
          <t>Pokémon + set + card number</t>
        </is>
      </c>
      <c r="D2" s="26" t="inlineStr">
        <is>
          <t>Opening packs is fun, but singles are usually cheaper for one-family collecting.</t>
        </is>
      </c>
    </row>
    <row r="3">
      <c r="A3" s="26" t="inlineStr">
        <is>
          <t>Out-of-print English set card</t>
        </is>
      </c>
      <c r="B3" s="26" t="inlineStr">
        <is>
          <t>TCGplayer, eBay, card shows/local shops</t>
        </is>
      </c>
      <c r="C3" s="26" t="inlineStr">
        <is>
          <t>Marill 34/147 Burning Shadows</t>
        </is>
      </c>
      <c r="D3" s="26" t="inlineStr">
        <is>
          <t>Search exact number; compare condition before buying older cards.</t>
        </is>
      </c>
    </row>
    <row r="4">
      <c r="A4" s="26" t="inlineStr">
        <is>
          <t>European-language card</t>
        </is>
      </c>
      <c r="B4" s="26" t="inlineStr">
        <is>
          <t>Cardmarket, eBay, specialist foreign-card sellers</t>
        </is>
      </c>
      <c r="C4" s="26" t="inlineStr">
        <is>
          <t>Marill + set/card number + French/German/Italian/Spanish/Portuguese</t>
        </is>
      </c>
      <c r="D4" s="26" t="inlineStr">
        <is>
          <t>Bundle multiple cheap cards from one seller to avoid paying more in shipping than cards.</t>
        </is>
      </c>
    </row>
    <row r="5">
      <c r="A5" s="26" t="inlineStr">
        <is>
          <t>Japanese set card</t>
        </is>
      </c>
      <c r="B5" s="26" t="inlineStr">
        <is>
          <t>eBay, Japanese card shops, Mercari Japan/Yahoo Japan through a proxy</t>
        </is>
      </c>
      <c r="C5" s="26" t="inlineStr">
        <is>
          <t>マリル + set number or English Pokémon name + Japanese card number</t>
        </is>
      </c>
      <c r="D5" s="26" t="inlineStr">
        <is>
          <t>Use the exact Japanese card number. Proxy shipping makes more sense when bundling several cards.</t>
        </is>
      </c>
    </row>
    <row r="6">
      <c r="A6" s="26" t="inlineStr">
        <is>
          <t>Japanese promo / deck exclusive</t>
        </is>
      </c>
      <c r="B6" s="26" t="inlineStr">
        <is>
          <t>eBay, Japanese marketplace/proxy, specialist sellers</t>
        </is>
      </c>
      <c r="C6" s="26" t="inlineStr">
        <is>
          <t>Exact promo number/product name</t>
        </is>
      </c>
      <c r="D6" s="26" t="inlineStr">
        <is>
          <t>Do not assume an English counterpart exists.</t>
        </is>
      </c>
    </row>
    <row r="7">
      <c r="A7" s="26" t="inlineStr">
        <is>
          <t>McDonald's / food promo</t>
        </is>
      </c>
      <c r="B7" s="26" t="inlineStr">
        <is>
          <t>eBay, card shows, specialist promo sellers</t>
        </is>
      </c>
      <c r="C7" s="26" t="inlineStr">
        <is>
          <t>Marill McDonald's 009/018</t>
        </is>
      </c>
      <c r="D7" s="26" t="inlineStr">
        <is>
          <t>Buy the single; sealed promotional product often costs much more.</t>
        </is>
      </c>
    </row>
    <row r="8">
      <c r="A8" s="26" t="inlineStr">
        <is>
          <t>Wizards / Neo / e-Reader vintage</t>
        </is>
      </c>
      <c r="B8" s="26" t="inlineStr">
        <is>
          <t>eBay, TCGplayer, card shows</t>
        </is>
      </c>
      <c r="C8" s="26" t="inlineStr">
        <is>
          <t>Exact set + card number + raw</t>
        </is>
      </c>
      <c r="D8" s="26" t="inlineStr">
        <is>
          <t>Prioritize clear front/back photos. Light wear is fine for a binder and can save a lot.</t>
        </is>
      </c>
    </row>
    <row r="9">
      <c r="A9" s="26" t="inlineStr">
        <is>
          <t>1st Edition vs Unlimited</t>
        </is>
      </c>
      <c r="B9" s="26" t="inlineStr">
        <is>
          <t>eBay, TCGplayer</t>
        </is>
      </c>
      <c r="C9" s="26" t="inlineStr">
        <is>
          <t>Light Azumarill 13/105 1st Edition</t>
        </is>
      </c>
      <c r="D9" s="26" t="inlineStr">
        <is>
          <t>They count separately in this Level 3 project. Do not pay graded-card premiums unless you personally want a slab.</t>
        </is>
      </c>
    </row>
    <row r="10">
      <c r="A10" s="26" t="inlineStr">
        <is>
          <t>Rare foreign printing</t>
        </is>
      </c>
      <c r="B10" s="26" t="inlineStr">
        <is>
          <t>eBay saved searches, Cardmarket, collector groups, Japanese proxy</t>
        </is>
      </c>
      <c r="C10" s="26" t="inlineStr">
        <is>
          <t>Exact card number + language</t>
        </is>
      </c>
      <c r="D10" s="26" t="inlineStr">
        <is>
          <t>Set saved searches and wait. Scarcity does not mean you need to overpay immediately.</t>
        </is>
      </c>
    </row>
    <row r="11">
      <c r="A11" s="26" t="inlineStr">
        <is>
          <t>No listings found</t>
        </is>
      </c>
      <c r="B11" s="26" t="inlineStr">
        <is>
          <t>Saved searches + collector communities + card shows</t>
        </is>
      </c>
      <c r="C11" s="26" t="inlineStr">
        <is>
          <t>Exact Pokémon/set/number/variant</t>
        </is>
      </c>
      <c r="D11" s="26" t="inlineStr">
        <is>
          <t>Mark VERIFY rather than buying a 'close enough' card.</t>
        </is>
      </c>
    </row>
    <row r="12">
      <c r="A12" s="26" t="n"/>
      <c r="B12" s="26" t="n"/>
      <c r="C12" s="26" t="n"/>
      <c r="D12" s="26" t="n"/>
    </row>
    <row r="13">
      <c r="A13" s="26" t="n"/>
      <c r="B13" s="26" t="n"/>
      <c r="C13" s="26" t="n"/>
      <c r="D13" s="26" t="n"/>
    </row>
    <row r="14">
      <c r="A14" s="22" t="inlineStr">
        <is>
          <t>Useful marketplace</t>
        </is>
      </c>
      <c r="B14" s="22" t="inlineStr">
        <is>
          <t>URL</t>
        </is>
      </c>
      <c r="C14" s="26" t="n"/>
      <c r="D14" s="26" t="n"/>
    </row>
    <row r="15">
      <c r="A15" s="26" t="inlineStr">
        <is>
          <t>TCGplayer</t>
        </is>
      </c>
      <c r="B15" s="26" t="inlineStr">
        <is>
          <t>https://www.tcgplayer.com/</t>
        </is>
      </c>
      <c r="C15" s="26" t="n"/>
      <c r="D15" s="26" t="n"/>
    </row>
    <row r="16">
      <c r="A16" s="26" t="inlineStr">
        <is>
          <t>eBay</t>
        </is>
      </c>
      <c r="B16" s="26" t="inlineStr">
        <is>
          <t>https://www.ebay.com/</t>
        </is>
      </c>
      <c r="C16" s="26" t="n"/>
      <c r="D16" s="26" t="n"/>
    </row>
    <row r="17">
      <c r="A17" s="26" t="inlineStr">
        <is>
          <t>Cardmarket</t>
        </is>
      </c>
      <c r="B17" s="26" t="inlineStr">
        <is>
          <t>https://www.cardmarket.com/</t>
        </is>
      </c>
      <c r="C17" s="26" t="n"/>
      <c r="D17" s="26" t="n"/>
    </row>
    <row r="18">
      <c r="A18" s="26" t="inlineStr">
        <is>
          <t>Mercari Japan</t>
        </is>
      </c>
      <c r="B18" s="26" t="inlineStr">
        <is>
          <t>https://jp.mercari.com/</t>
        </is>
      </c>
      <c r="C18" s="26" t="n"/>
      <c r="D18" s="26" t="n"/>
    </row>
    <row r="19">
      <c r="A19" s="26" t="inlineStr">
        <is>
          <t>Yahoo! Auctions Japan</t>
        </is>
      </c>
      <c r="B19" s="26" t="inlineStr">
        <is>
          <t>https://auctions.yahoo.co.jp/</t>
        </is>
      </c>
      <c r="C19" s="26" t="n"/>
      <c r="D19" s="26" t="n"/>
    </row>
    <row r="22">
      <c r="A22" s="40" t="inlineStr">
        <is>
          <t>Audit rule</t>
        </is>
      </c>
      <c r="B22" s="40" t="inlineStr">
        <is>
          <t>What it means</t>
        </is>
      </c>
      <c r="C22" s="40" t="inlineStr">
        <is>
          <t>Action</t>
        </is>
      </c>
      <c r="D22" s="40" t="inlineStr">
        <is>
          <t>Source</t>
        </is>
      </c>
    </row>
    <row r="23">
      <c r="A23" s="41" t="inlineStr">
        <is>
          <t>Languages are card-specific</t>
        </is>
      </c>
      <c r="B23" s="41" t="inlineStr">
        <is>
          <t>Do not assume every set/card exists in every TCG language.</t>
        </is>
      </c>
      <c r="C23" s="41" t="inlineStr">
        <is>
          <t>Verify each card page/release before adding a required row.</t>
        </is>
      </c>
      <c r="D23" s="41" t="inlineStr">
        <is>
          <t>https://bulbapedia.bulbagarden.net/wiki/Azurill_(Cosmic_Eclipse_146)</t>
        </is>
      </c>
    </row>
    <row r="24">
      <c r="A24" s="41" t="inlineStr">
        <is>
          <t>Reverse holo is era-dependent</t>
        </is>
      </c>
      <c r="B24" s="41" t="inlineStr">
        <is>
          <t>Reverse counterparts became a normal set feature after Legendary Collection, with exceptions.</t>
        </is>
      </c>
      <c r="C24" s="41" t="inlineStr">
        <is>
          <t>Verify card eligibility before adding the reverse as required.</t>
        </is>
      </c>
      <c r="D24" s="41" t="inlineStr">
        <is>
          <t>https://bulbapedia.bulbagarden.net/wiki/Reverse_Holo</t>
        </is>
      </c>
    </row>
    <row r="25">
      <c r="A25" s="41" t="inlineStr">
        <is>
          <t>Stamped deck prints count</t>
        </is>
      </c>
      <c r="B25" s="41" t="inlineStr">
        <is>
          <t>Official stamps such as the Japanese Battle Academy Greninja stamp are distinct Level 3 targets.</t>
        </is>
      </c>
      <c r="C25" s="41" t="inlineStr">
        <is>
          <t>Track stamped and unstamped separately.</t>
        </is>
      </c>
      <c r="D25" s="41" t="inlineStr">
        <is>
          <t>https://bulbapedia.bulbagarden.net/wiki/Marill_(Stellar_Crown_33)</t>
        </is>
      </c>
    </row>
    <row r="26">
      <c r="A26" s="41" t="inlineStr">
        <is>
          <t>Food promos count</t>
        </is>
      </c>
      <c r="B26" s="41" t="inlineStr">
        <is>
          <t>Official McDonald's reprints count even when they reuse existing artwork.</t>
        </is>
      </c>
      <c r="C26" s="41" t="inlineStr">
        <is>
          <t>Track product, number and finish separately.</t>
        </is>
      </c>
      <c r="D26" s="41" t="inlineStr">
        <is>
          <t>https://bulbapedia.bulbagarden.net/wiki/Marill_(Primal_Clash_102)</t>
        </is>
      </c>
    </row>
    <row r="27">
      <c r="A27" s="41" t="inlineStr">
        <is>
          <t>Digital TCG Pocket excluded</t>
        </is>
      </c>
      <c r="B27" s="41" t="inlineStr">
        <is>
          <t>This project tracks physical Pokémon TCG cards only.</t>
        </is>
      </c>
      <c r="C27" s="41" t="inlineStr">
        <is>
          <t>Do not add Pocket-only releases.</t>
        </is>
      </c>
      <c r="D27" s="41" t="inlineStr">
        <is>
          <t>https://bulbapedia.bulbagarden.net/wiki/Azurill_(TCG)</t>
        </is>
      </c>
    </row>
    <row r="30">
      <c r="A30" t="inlineStr">
        <is>
          <t>Final buying rule</t>
        </is>
      </c>
      <c r="B30" t="inlineStr">
        <is>
          <t>Applies to</t>
        </is>
      </c>
      <c r="C30" t="inlineStr">
        <is>
          <t>What to do</t>
        </is>
      </c>
      <c r="D30" t="inlineStr">
        <is>
          <t>Why</t>
        </is>
      </c>
    </row>
    <row r="31">
      <c r="A31" t="inlineStr">
        <is>
          <t>Spanish baseline</t>
        </is>
      </c>
      <c r="B31" t="inlineStr">
        <is>
          <t>All official Spanish editions</t>
        </is>
      </c>
      <c r="C31" t="inlineStr">
        <is>
          <t>Search Cardmarket/eBay using exact card number + Español/Spanish.</t>
        </is>
      </c>
      <c r="D31" t="inlineStr">
        <is>
          <t>Spanish is a required collection language.</t>
        </is>
      </c>
    </row>
    <row r="32">
      <c r="A32" t="inlineStr">
        <is>
          <t>English baseline</t>
        </is>
      </c>
      <c r="B32" t="inlineStr">
        <is>
          <t>All official English editions</t>
        </is>
      </c>
      <c r="C32" t="inlineStr">
        <is>
          <t>TCGplayer/eBay/local shops; bundle cheap singles.</t>
        </is>
      </c>
      <c r="D32" t="inlineStr">
        <is>
          <t>Required collection language.</t>
        </is>
      </c>
    </row>
    <row r="33">
      <c r="A33" t="inlineStr">
        <is>
          <t>Japanese baseline</t>
        </is>
      </c>
      <c r="B33" t="inlineStr">
        <is>
          <t>All official Japanese editions and Japanese exclusives</t>
        </is>
      </c>
      <c r="C33" t="inlineStr">
        <is>
          <t>eBay/Cardmarket/Japanese proxy; bundle proxy orders.</t>
        </is>
      </c>
      <c r="D33" t="inlineStr">
        <is>
          <t>Required collection language.</t>
        </is>
      </c>
    </row>
    <row r="34">
      <c r="A34" t="inlineStr">
        <is>
          <t>Other languages</t>
        </is>
      </c>
      <c r="B34" t="inlineStr">
        <is>
          <t>Only unique physical releases</t>
        </is>
      </c>
      <c r="C34" t="inlineStr">
        <is>
          <t>Buy only if the release adds a unique product/number/stamp/finish/artwork.</t>
        </is>
      </c>
      <c r="D34" t="inlineStr">
        <is>
          <t>Avoids endless translated duplicates.</t>
        </is>
      </c>
    </row>
    <row r="35">
      <c r="A35" t="inlineStr">
        <is>
          <t>Out-of-print sealed</t>
        </is>
      </c>
      <c r="B35" t="inlineStr">
        <is>
          <t>All older sets</t>
        </is>
      </c>
      <c r="C35" t="inlineStr">
        <is>
          <t>Buy the exact single. Do not open vintage sealed product to chase one family.</t>
        </is>
      </c>
      <c r="D35" t="inlineStr">
        <is>
          <t>Protects the collection budget.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20" customWidth="1" style="37" min="2" max="2"/>
    <col width="24" customWidth="1" style="37" min="3" max="3"/>
    <col width="24" customWidth="1" style="37" min="4" max="4"/>
    <col width="12" customWidth="1" style="37" min="5" max="5"/>
    <col width="14" customWidth="1" style="37" min="6" max="6"/>
    <col width="20" customWidth="1" style="37" min="7" max="7"/>
    <col width="12" customWidth="1" style="37" min="8" max="8"/>
    <col width="42" customWidth="1" style="37" min="9" max="9"/>
    <col width="45" customWidth="1" style="37" min="10" max="10"/>
    <col width="45" customWidth="1" style="37" min="11" max="11"/>
  </cols>
  <sheetData>
    <row r="1">
      <c r="A1" s="22" t="inlineStr">
        <is>
          <t>ID</t>
        </is>
      </c>
      <c r="B1" s="22" t="inlineStr">
        <is>
          <t>Featured Family Member</t>
        </is>
      </c>
      <c r="C1" s="22" t="inlineStr">
        <is>
          <t>Card Name</t>
        </is>
      </c>
      <c r="D1" s="22" t="inlineStr">
        <is>
          <t>Set / Product</t>
        </is>
      </c>
      <c r="E1" s="22" t="inlineStr">
        <is>
          <t>Card #</t>
        </is>
      </c>
      <c r="F1" s="22" t="inlineStr">
        <is>
          <t>Language</t>
        </is>
      </c>
      <c r="G1" s="22" t="inlineStr">
        <is>
          <t>Cameo Type</t>
        </is>
      </c>
      <c r="H1" s="22" t="inlineStr">
        <is>
          <t>Status</t>
        </is>
      </c>
      <c r="I1" s="22" t="inlineStr">
        <is>
          <t>How to Get It</t>
        </is>
      </c>
      <c r="J1" s="22" t="inlineStr">
        <is>
          <t>Verification Notes</t>
        </is>
      </c>
      <c r="K1" s="22" t="inlineStr">
        <is>
          <t>Source URL</t>
        </is>
      </c>
    </row>
    <row r="2">
      <c r="A2" s="26" t="n">
        <v>1</v>
      </c>
      <c r="B2" s="26" t="inlineStr">
        <is>
          <t>Marill</t>
        </is>
      </c>
      <c r="C2" s="26" t="inlineStr">
        <is>
          <t>Grotle</t>
        </is>
      </c>
      <c r="D2" s="26" t="inlineStr">
        <is>
          <t>Temporal Forces</t>
        </is>
      </c>
      <c r="E2" s="26" t="str"/>
      <c r="F2" s="26" t="inlineStr">
        <is>
          <t>English</t>
        </is>
      </c>
      <c r="G2" s="26" t="inlineStr">
        <is>
          <t>Artwork cameo</t>
        </is>
      </c>
      <c r="H2" s="26" t="inlineStr">
        <is>
          <t>NEED</t>
        </is>
      </c>
      <c r="I2" s="26" t="inlineStr">
        <is>
          <t>Buy single; modern card.</t>
        </is>
      </c>
      <c r="J2" s="26" t="inlineStr">
        <is>
          <t>Community cameo databases flag Marill in this artwork; verify exact card number before purchase.</t>
        </is>
      </c>
      <c r="K2" s="26" t="inlineStr">
        <is>
          <t>https://www.reddit.com/r/PokemonTCG/comments/1rm2tph/looking_for_cameo_cards_arssars/</t>
        </is>
      </c>
    </row>
    <row r="3">
      <c r="A3" s="26" t="n">
        <v>2</v>
      </c>
      <c r="B3" s="26" t="inlineStr">
        <is>
          <t>Family</t>
        </is>
      </c>
      <c r="C3" s="26" t="inlineStr">
        <is>
          <t>Cameo audit backlog</t>
        </is>
      </c>
      <c r="D3" s="26" t="str"/>
      <c r="E3" s="26" t="str"/>
      <c r="F3" s="26" t="str"/>
      <c r="G3" s="26" t="inlineStr">
        <is>
          <t>Research task</t>
        </is>
      </c>
      <c r="H3" s="26" t="inlineStr">
        <is>
          <t>VERIFY</t>
        </is>
      </c>
      <c r="I3" s="26" t="str"/>
      <c r="J3" s="26" t="inlineStr">
        <is>
          <t>Cameos are intentionally a bonus list. Expand only after visual verification.</t>
        </is>
      </c>
      <c r="K3" s="26" t="inlineStr">
        <is>
          <t>https://www.reddit.com/r/PokemonTCG/comments/144qdbt/ahead_of_paldea_evolved_the_cameo_card_database/</t>
        </is>
      </c>
    </row>
  </sheetData>
  <dataValidations count="1">
    <dataValidation sqref="H2:H200" showDropDown="0" showInputMessage="0" showErrorMessage="0" allowBlank="0" type="list">
      <formula1>"NEED,OWNED,ORDERED,VERIFY,SKIP"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style="37" min="1" max="1"/>
    <col width="42" customWidth="1" style="37" min="2" max="2"/>
    <col width="55" customWidth="1" style="37" min="3" max="3"/>
    <col width="14" customWidth="1" style="37" min="4" max="4"/>
  </cols>
  <sheetData>
    <row r="1">
      <c r="A1" s="22" t="inlineStr">
        <is>
          <t>HTML tracker field</t>
        </is>
      </c>
      <c r="B1" s="22" t="inlineStr">
        <is>
          <t>Purpose</t>
        </is>
      </c>
      <c r="C1" s="22" t="inlineStr">
        <is>
          <t>Allowed / example values</t>
        </is>
      </c>
      <c r="D1" s="22" t="inlineStr">
        <is>
          <t>Required?</t>
        </is>
      </c>
    </row>
    <row r="2">
      <c r="A2" s="26" t="inlineStr">
        <is>
          <t>status</t>
        </is>
      </c>
      <c r="B2" s="26" t="inlineStr">
        <is>
          <t>Collection state</t>
        </is>
      </c>
      <c r="C2" s="26" t="inlineStr">
        <is>
          <t>NEED | OWNED | ORDERED | VERIFY | SKIP</t>
        </is>
      </c>
      <c r="D2" s="26" t="inlineStr">
        <is>
          <t>Yes</t>
        </is>
      </c>
    </row>
    <row r="3">
      <c r="A3" s="26" t="inlineStr">
        <is>
          <t>species</t>
        </is>
      </c>
      <c r="B3" s="26" t="inlineStr">
        <is>
          <t>Filter</t>
        </is>
      </c>
      <c r="C3" s="26" t="inlineStr">
        <is>
          <t>Azurill | Marill | Azumarill</t>
        </is>
      </c>
      <c r="D3" s="26" t="inlineStr">
        <is>
          <t>Yes</t>
        </is>
      </c>
    </row>
    <row r="4">
      <c r="A4" s="26" t="inlineStr">
        <is>
          <t>release_type</t>
        </is>
      </c>
      <c r="B4" s="26" t="inlineStr">
        <is>
          <t>Filter</t>
        </is>
      </c>
      <c r="C4" s="26" t="inlineStr">
        <is>
          <t>Set card | Promo | Food promo | Illustration Rare | Deck exclusive</t>
        </is>
      </c>
      <c r="D4" s="26" t="inlineStr">
        <is>
          <t>Yes</t>
        </is>
      </c>
    </row>
    <row r="5">
      <c r="A5" s="26" t="inlineStr">
        <is>
          <t>fun_tags</t>
        </is>
      </c>
      <c r="B5" s="26" t="inlineStr">
        <is>
          <t>Special collection badges</t>
        </is>
      </c>
      <c r="C5" s="26" t="inlineStr">
        <is>
          <t>Asako Ito; Yuka Morii; McDonald's; Southern Islands; e-Reader; Light Pokémon</t>
        </is>
      </c>
      <c r="D5" s="26" t="inlineStr">
        <is>
          <t>Yes</t>
        </is>
      </c>
    </row>
    <row r="6">
      <c r="A6" s="26" t="inlineStr">
        <is>
          <t>language</t>
        </is>
      </c>
      <c r="B6" s="26" t="inlineStr">
        <is>
          <t>Level 3 variant</t>
        </is>
      </c>
      <c r="C6" s="26" t="inlineStr">
        <is>
          <t>English, Japanese, French, German, etc.</t>
        </is>
      </c>
      <c r="D6" s="26" t="inlineStr">
        <is>
          <t>For expanded variants</t>
        </is>
      </c>
    </row>
    <row r="7">
      <c r="A7" s="26" t="inlineStr">
        <is>
          <t>finish</t>
        </is>
      </c>
      <c r="B7" s="26" t="inlineStr">
        <is>
          <t>Level 3 variant</t>
        </is>
      </c>
      <c r="C7" s="26" t="inlineStr">
        <is>
          <t>Regular, reverse holo, holo, mirror, stamped, etc.</t>
        </is>
      </c>
      <c r="D7" s="26" t="inlineStr">
        <is>
          <t>For expanded variants</t>
        </is>
      </c>
    </row>
    <row r="8">
      <c r="A8" s="26" t="inlineStr">
        <is>
          <t>printing</t>
        </is>
      </c>
      <c r="B8" s="26" t="inlineStr">
        <is>
          <t>Level 3 variant</t>
        </is>
      </c>
      <c r="C8" s="26" t="inlineStr">
        <is>
          <t>1st Edition, Unlimited, regional print, promo stamp</t>
        </is>
      </c>
      <c r="D8" s="26" t="inlineStr">
        <is>
          <t>For expanded variants</t>
        </is>
      </c>
    </row>
    <row r="9">
      <c r="A9" s="26" t="inlineStr">
        <is>
          <t>acquisition_tip</t>
        </is>
      </c>
      <c r="B9" s="26" t="inlineStr">
        <is>
          <t>What to do when packs are unavailable</t>
        </is>
      </c>
      <c r="C9" s="26" t="inlineStr">
        <is>
          <t>Buy single / saved search / Japanese proxy / bundle seller</t>
        </is>
      </c>
      <c r="D9" s="26" t="inlineStr">
        <is>
          <t>Yes</t>
        </is>
      </c>
    </row>
    <row r="10">
      <c r="A10" s="26" t="inlineStr">
        <is>
          <t>source_url</t>
        </is>
      </c>
      <c r="B10" s="26" t="inlineStr">
        <is>
          <t>Audit trail</t>
        </is>
      </c>
      <c r="C10" s="26" t="inlineStr">
        <is>
          <t>Plain URL</t>
        </is>
      </c>
      <c r="D10" s="26" t="inlineStr">
        <is>
          <t>Yes</t>
        </is>
      </c>
    </row>
    <row r="11">
      <c r="A11" s="26" t="inlineStr">
        <is>
          <t>price_paid</t>
        </is>
      </c>
      <c r="B11" s="26" t="inlineStr">
        <is>
          <t>Personal spend tracking</t>
        </is>
      </c>
      <c r="C11" s="26" t="inlineStr">
        <is>
          <t>Currency</t>
        </is>
      </c>
      <c r="D11" s="26" t="inlineStr">
        <is>
          <t>Optional</t>
        </is>
      </c>
    </row>
    <row r="12">
      <c r="A12" s="26" t="inlineStr">
        <is>
          <t>notes</t>
        </is>
      </c>
      <c r="B12" s="26" t="inlineStr">
        <is>
          <t>Anything weird</t>
        </is>
      </c>
      <c r="C12" s="26" t="inlineStr">
        <is>
          <t>Free text</t>
        </is>
      </c>
      <c r="D12" s="26" t="inlineStr">
        <is>
          <t>Optional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style="37" min="1" max="1"/>
    <col width="14" customWidth="1" style="37" min="2" max="2"/>
    <col width="26" customWidth="1" style="37" min="3" max="3"/>
    <col width="38" customWidth="1" style="37" min="4" max="4"/>
    <col width="20" customWidth="1" style="37" min="5" max="5"/>
    <col width="22" customWidth="1" style="37" min="6" max="6"/>
    <col width="16" customWidth="1" style="37" min="7" max="7"/>
    <col width="30" customWidth="1" style="37" min="8" max="8"/>
    <col width="48" customWidth="1" style="37" min="9" max="9"/>
    <col width="48" customWidth="1" style="37" min="10" max="10"/>
    <col width="50" customWidth="1" style="37" min="11" max="11"/>
    <col width="50" customWidth="1" style="37" min="12" max="12"/>
  </cols>
  <sheetData>
    <row r="1">
      <c r="A1" s="54" t="inlineStr">
        <is>
          <t>Priority</t>
        </is>
      </c>
      <c r="B1" s="54" t="inlineStr">
        <is>
          <t>Species</t>
        </is>
      </c>
      <c r="C1" s="54" t="inlineStr">
        <is>
          <t>Base Release</t>
        </is>
      </c>
      <c r="D1" s="54" t="inlineStr">
        <is>
          <t>Known Variant / Reprint</t>
        </is>
      </c>
      <c r="E1" s="54" t="inlineStr">
        <is>
          <t>Region / Language</t>
        </is>
      </c>
      <c r="F1" s="54" t="inlineStr">
        <is>
          <t>Finish / Stamp</t>
        </is>
      </c>
      <c r="G1" s="54" t="inlineStr">
        <is>
          <t>Verification</t>
        </is>
      </c>
      <c r="H1" s="54" t="inlineStr">
        <is>
          <t>Why It Matters</t>
        </is>
      </c>
      <c r="I1" s="54" t="inlineStr">
        <is>
          <t>Best Acquisition Route</t>
        </is>
      </c>
      <c r="J1" s="54" t="inlineStr">
        <is>
          <t>Pasteable Search Terms</t>
        </is>
      </c>
      <c r="K1" s="54" t="inlineStr">
        <is>
          <t>Source URL</t>
        </is>
      </c>
      <c r="L1" s="54" t="inlineStr">
        <is>
          <t>Research Notes</t>
        </is>
      </c>
    </row>
    <row r="2">
      <c r="A2" s="26" t="inlineStr">
        <is>
          <t>HIGH</t>
        </is>
      </c>
      <c r="B2" s="26" t="inlineStr">
        <is>
          <t>Marill</t>
        </is>
      </c>
      <c r="C2" s="26" t="inlineStr">
        <is>
          <t>Primal Clash 102/160</t>
        </is>
      </c>
      <c r="D2" s="26" t="inlineStr">
        <is>
          <t>McDonald's Collection 2015 10/12</t>
        </is>
      </c>
      <c r="E2" s="26" t="inlineStr">
        <is>
          <t>English</t>
        </is>
      </c>
      <c r="F2" s="26" t="inlineStr">
        <is>
          <t>Confetti Holo</t>
        </is>
      </c>
      <c r="G2" s="26" t="inlineStr">
        <is>
          <t>VERIFIED</t>
        </is>
      </c>
      <c r="H2" s="26" t="inlineStr">
        <is>
          <t>Food-promo mini collection</t>
        </is>
      </c>
      <c r="I2" s="26" t="inlineStr">
        <is>
          <t>Buy the single; do not buy old Happy Meals/sealed product.</t>
        </is>
      </c>
      <c r="J2" s="26" t="inlineStr">
        <is>
          <t>Marill McDonald's 2015 10/12 confetti holo</t>
        </is>
      </c>
      <c r="K2" s="26" t="inlineStr">
        <is>
          <t>https://bulbapedia.bulbagarden.net/wiki/Marill_(Primal_Clash_102)</t>
        </is>
      </c>
      <c r="L2" s="26" t="inlineStr">
        <is>
          <t>Official release info confirms the McDonald's reprint is an exclusive Confetti Holofoil.</t>
        </is>
      </c>
    </row>
    <row r="3">
      <c r="A3" s="26" t="inlineStr">
        <is>
          <t>HIGH</t>
        </is>
      </c>
      <c r="B3" s="26" t="inlineStr">
        <is>
          <t>Marill</t>
        </is>
      </c>
      <c r="C3" s="26" t="inlineStr">
        <is>
          <t>Stellar Crown 33/142</t>
        </is>
      </c>
      <c r="D3" s="26" t="inlineStr">
        <is>
          <t>Pokémon Card Game Battle Academy 013/066</t>
        </is>
      </c>
      <c r="E3" s="26" t="inlineStr">
        <is>
          <t>Japanese</t>
        </is>
      </c>
      <c r="F3" s="26" t="inlineStr">
        <is>
          <t>Greninja stamp</t>
        </is>
      </c>
      <c r="G3" s="26" t="inlineStr">
        <is>
          <t>VERIFIED</t>
        </is>
      </c>
      <c r="H3" s="26" t="inlineStr">
        <is>
          <t>Official stamped Japanese deck printing</t>
        </is>
      </c>
      <c r="I3" s="26" t="inlineStr">
        <is>
          <t>Buy the deck single on eBay or Japanese marketplace/proxy.</t>
        </is>
      </c>
      <c r="J3" s="26" t="inlineStr">
        <is>
          <t>Marill 013/066 Greninja stamp Battle Academy Japanese</t>
        </is>
      </c>
      <c r="K3" s="26" t="inlineStr">
        <is>
          <t>https://bulbapedia.bulbagarden.net/wiki/Marill_(Stellar_Crown_33)</t>
        </is>
      </c>
      <c r="L3" s="26" t="inlineStr">
        <is>
          <t>Japanese Battle Academy copy is printed with a Greninja stamp.</t>
        </is>
      </c>
    </row>
    <row r="4">
      <c r="A4" s="26" t="inlineStr">
        <is>
          <t>HIGH</t>
        </is>
      </c>
      <c r="B4" s="26" t="inlineStr">
        <is>
          <t>Azumarill</t>
        </is>
      </c>
      <c r="C4" s="26" t="inlineStr">
        <is>
          <t>Stellar Crown 34/142</t>
        </is>
      </c>
      <c r="D4" s="26" t="inlineStr">
        <is>
          <t>Pokémon Card Game Battle Academy 014/066</t>
        </is>
      </c>
      <c r="E4" s="26" t="inlineStr">
        <is>
          <t>Japanese</t>
        </is>
      </c>
      <c r="F4" s="26" t="inlineStr">
        <is>
          <t>Greninja stamp</t>
        </is>
      </c>
      <c r="G4" s="26" t="inlineStr">
        <is>
          <t>VERIFIED</t>
        </is>
      </c>
      <c r="H4" s="26" t="inlineStr">
        <is>
          <t>Official stamped Japanese deck printing</t>
        </is>
      </c>
      <c r="I4" s="26" t="inlineStr">
        <is>
          <t>Buy the deck single on eBay or Japanese marketplace/proxy.</t>
        </is>
      </c>
      <c r="J4" s="26" t="inlineStr">
        <is>
          <t>Azumarill 014/066 Greninja stamp Battle Academy Japanese</t>
        </is>
      </c>
      <c r="K4" s="26" t="inlineStr">
        <is>
          <t>https://bulbapedia.bulbagarden.net/wiki/Azumarill_(Stellar_Crown_34)</t>
        </is>
      </c>
      <c r="L4" s="26" t="inlineStr">
        <is>
          <t>Japanese Battle Academy copy is printed with a Greninja stamp.</t>
        </is>
      </c>
    </row>
    <row r="5">
      <c r="A5" s="26" t="inlineStr">
        <is>
          <t>HIGH</t>
        </is>
      </c>
      <c r="B5" s="26" t="inlineStr">
        <is>
          <t>Azumarill</t>
        </is>
      </c>
      <c r="C5" s="26" t="inlineStr">
        <is>
          <t>EX Delta Species 114/113</t>
        </is>
      </c>
      <c r="D5" s="26" t="inlineStr">
        <is>
          <t>077/PCG-P</t>
        </is>
      </c>
      <c r="E5" s="26" t="inlineStr">
        <is>
          <t>Japanese</t>
        </is>
      </c>
      <c r="F5" s="26" t="inlineStr">
        <is>
          <t>Promo</t>
        </is>
      </c>
      <c r="G5" s="26" t="inlineStr">
        <is>
          <t>VERIFIED</t>
        </is>
      </c>
      <c r="H5" s="26" t="inlineStr">
        <is>
          <t>Japanese DVD/VHS promo and English Secret Box Topper</t>
        </is>
      </c>
      <c r="I5" s="26" t="inlineStr">
        <is>
          <t>Buy singles; sealed DVD/VHS or old booster boxes are unnecessary.</t>
        </is>
      </c>
      <c r="J5" s="26" t="inlineStr">
        <is>
          <t>Azumarill 077 PCG-P Pikachu Summer Festival promo</t>
        </is>
      </c>
      <c r="K5" s="26" t="inlineStr">
        <is>
          <t>https://bulbapedia.bulbagarden.net/wiki/Azumarill_(EX_Delta_Species_114)</t>
        </is>
      </c>
      <c r="L5" s="26" t="inlineStr">
        <is>
          <t>Japanese card came with Pikachu's Summer Festival VHS/DVD; English version was a Secret Box Topper.</t>
        </is>
      </c>
    </row>
    <row r="6">
      <c r="A6" s="26" t="inlineStr">
        <is>
          <t>HIGH</t>
        </is>
      </c>
      <c r="B6" s="26" t="inlineStr">
        <is>
          <t>Marill</t>
        </is>
      </c>
      <c r="C6" s="26" t="inlineStr">
        <is>
          <t>Primal Clash 102/160</t>
        </is>
      </c>
      <c r="D6" s="26" t="inlineStr">
        <is>
          <t>Tidal Storm 047/070</t>
        </is>
      </c>
      <c r="E6" s="26" t="inlineStr">
        <is>
          <t>Japanese</t>
        </is>
      </c>
      <c r="F6" s="26" t="inlineStr">
        <is>
          <t>Regular</t>
        </is>
      </c>
      <c r="G6" s="26" t="inlineStr">
        <is>
          <t>VERIFIED</t>
        </is>
      </c>
      <c r="H6" s="26" t="inlineStr">
        <is>
          <t>Base Japanese counterpart</t>
        </is>
      </c>
      <c r="I6" s="26" t="inlineStr">
        <is>
          <t>Buy Japanese single.</t>
        </is>
      </c>
      <c r="J6" s="26" t="inlineStr">
        <is>
          <t>Marill 047/070 Tidal Storm Japanese</t>
        </is>
      </c>
      <c r="K6" s="26" t="inlineStr">
        <is>
          <t>https://bulbapedia.bulbagarden.net/wiki/Marill_(Primal_Clash_102)</t>
        </is>
      </c>
      <c r="L6" s="26" t="str"/>
    </row>
    <row r="7">
      <c r="A7" s="26" t="inlineStr">
        <is>
          <t>HIGH</t>
        </is>
      </c>
      <c r="B7" s="26" t="inlineStr">
        <is>
          <t>Azurill</t>
        </is>
      </c>
      <c r="C7" s="26" t="inlineStr">
        <is>
          <t>Cosmic Eclipse 146/236</t>
        </is>
      </c>
      <c r="D7" s="26" t="inlineStr">
        <is>
          <t>Alter Genesis 057/095</t>
        </is>
      </c>
      <c r="E7" s="26" t="inlineStr">
        <is>
          <t>Japanese</t>
        </is>
      </c>
      <c r="F7" s="26" t="inlineStr">
        <is>
          <t>Regular</t>
        </is>
      </c>
      <c r="G7" s="26" t="inlineStr">
        <is>
          <t>VERIFIED</t>
        </is>
      </c>
      <c r="H7" s="26" t="inlineStr">
        <is>
          <t>Asako Ito counterpart</t>
        </is>
      </c>
      <c r="I7" s="26" t="inlineStr">
        <is>
          <t>Buy single; Cosmic Eclipse/Alter Genesis sealed is not cost-smart for this goal.</t>
        </is>
      </c>
      <c r="J7" s="26" t="inlineStr">
        <is>
          <t>Azurill 057/095 Alter Genesis Asako Ito Japanese</t>
        </is>
      </c>
      <c r="K7" s="26" t="inlineStr">
        <is>
          <t>https://bulbapedia.bulbagarden.net/wiki/Azurill_(Cosmic_Eclipse_146)</t>
        </is>
      </c>
      <c r="L7" s="26" t="inlineStr">
        <is>
          <t>Asako Ito artwork.</t>
        </is>
      </c>
    </row>
    <row r="8">
      <c r="A8" s="26" t="inlineStr">
        <is>
          <t>HIGH</t>
        </is>
      </c>
      <c r="B8" s="26" t="inlineStr">
        <is>
          <t>Azurill</t>
        </is>
      </c>
      <c r="C8" s="26" t="inlineStr">
        <is>
          <t>Cosmic Eclipse 146/236</t>
        </is>
      </c>
      <c r="D8" s="26" t="inlineStr">
        <is>
          <t>International language printings</t>
        </is>
      </c>
      <c r="E8" s="26" t="inlineStr">
        <is>
          <t>Multiple</t>
        </is>
      </c>
      <c r="F8" s="26" t="inlineStr">
        <is>
          <t>Regular / reverse to audit</t>
        </is>
      </c>
      <c r="G8" s="26" t="inlineStr">
        <is>
          <t>PARTIAL</t>
        </is>
      </c>
      <c r="H8" s="26" t="inlineStr">
        <is>
          <t>Asako Ito global subset</t>
        </is>
      </c>
      <c r="I8" s="26" t="inlineStr">
        <is>
          <t>Use exact set/card number plus language; bundle foreign copies where possible.</t>
        </is>
      </c>
      <c r="J8" s="26" t="inlineStr">
        <is>
          <t>Azurill 146/236 Cosmic Eclipse French German Italian Spanish</t>
        </is>
      </c>
      <c r="K8" s="26" t="inlineStr">
        <is>
          <t>https://bulbapedia.bulbagarden.net/wiki/Azurill_(Cosmic_Eclipse_146)</t>
        </is>
      </c>
      <c r="L8" s="26" t="inlineStr">
        <is>
          <t>Card page confirms at least German, Spanish, French, Italian, Japanese and Chinese language coverage; exact physical finish by language still needs verification.</t>
        </is>
      </c>
    </row>
    <row r="9">
      <c r="A9" s="26" t="inlineStr">
        <is>
          <t>MEDIUM</t>
        </is>
      </c>
      <c r="B9" s="26" t="inlineStr">
        <is>
          <t>Azurill</t>
        </is>
      </c>
      <c r="C9" s="26" t="inlineStr">
        <is>
          <t>EX Delta Species 20/113</t>
        </is>
      </c>
      <c r="D9" s="26" t="inlineStr">
        <is>
          <t>Holon Research Tower 066/086</t>
        </is>
      </c>
      <c r="E9" s="26" t="inlineStr">
        <is>
          <t>Multiple</t>
        </is>
      </c>
      <c r="F9" s="26" t="inlineStr">
        <is>
          <t>Regular / reverse to audit</t>
        </is>
      </c>
      <c r="G9" s="26" t="inlineStr">
        <is>
          <t>PARTIAL</t>
        </is>
      </c>
      <c r="H9" s="26" t="inlineStr">
        <is>
          <t>Older EX-era global printing</t>
        </is>
      </c>
      <c r="I9" s="26" t="inlineStr">
        <is>
          <t>Buy singles; compare condition photos.</t>
        </is>
      </c>
      <c r="J9" s="26" t="inlineStr">
        <is>
          <t>Azurill 20/113 EX Delta Species reverse holo</t>
        </is>
      </c>
      <c r="K9" s="26" t="inlineStr">
        <is>
          <t>https://bulbapedia.bulbagarden.net/wiki/Azurill_(EX_Delta_Species_20)</t>
        </is>
      </c>
      <c r="L9" s="26" t="inlineStr">
        <is>
          <t>Card page confirms German, Spanish, French and Japanese coverage; exact variant matrix remains to audit.</t>
        </is>
      </c>
    </row>
    <row r="10">
      <c r="A10" s="26" t="inlineStr">
        <is>
          <t>MEDIUM</t>
        </is>
      </c>
      <c r="B10" s="26" t="inlineStr">
        <is>
          <t>Azurill</t>
        </is>
      </c>
      <c r="C10" s="26" t="inlineStr">
        <is>
          <t>Diamond &amp; Pearl 69/130</t>
        </is>
      </c>
      <c r="D10" s="26" t="inlineStr">
        <is>
          <t>Space-Time Creation counterpart</t>
        </is>
      </c>
      <c r="E10" s="26" t="inlineStr">
        <is>
          <t>Multiple</t>
        </is>
      </c>
      <c r="F10" s="26" t="inlineStr">
        <is>
          <t>Regular / reverse to audit</t>
        </is>
      </c>
      <c r="G10" s="26" t="inlineStr">
        <is>
          <t>PARTIAL</t>
        </is>
      </c>
      <c r="H10" s="26" t="inlineStr">
        <is>
          <t>DP-era global printing</t>
        </is>
      </c>
      <c r="I10" s="26" t="inlineStr">
        <is>
          <t>Buy singles.</t>
        </is>
      </c>
      <c r="J10" s="26" t="inlineStr">
        <is>
          <t>Azurill 69/130 Diamond Pearl reverse holo</t>
        </is>
      </c>
      <c r="K10" s="26" t="inlineStr">
        <is>
          <t>https://bulbapedia.bulbagarden.net/wiki/Azurill_(Diamond_%26_Pearl_69)</t>
        </is>
      </c>
      <c r="L10" s="26" t="inlineStr">
        <is>
          <t>Card page confirms multiple language editions; exact physical variants remain to audit.</t>
        </is>
      </c>
    </row>
    <row r="11">
      <c r="A11" s="26" t="inlineStr">
        <is>
          <t>MEDIUM</t>
        </is>
      </c>
      <c r="B11" s="26" t="inlineStr">
        <is>
          <t>Azumarill</t>
        </is>
      </c>
      <c r="C11" s="26" t="inlineStr">
        <is>
          <t>Paldea Evolved 45/193</t>
        </is>
      </c>
      <c r="D11" s="26" t="inlineStr">
        <is>
          <t>Generations Start Deck Lugia ex &amp; Tyranitar ex 030/175</t>
        </is>
      </c>
      <c r="E11" s="26" t="inlineStr">
        <is>
          <t>Japanese</t>
        </is>
      </c>
      <c r="F11" s="26" t="inlineStr">
        <is>
          <t>Deck reprint</t>
        </is>
      </c>
      <c r="G11" s="26" t="inlineStr">
        <is>
          <t>VERIFIED</t>
        </is>
      </c>
      <c r="H11" s="26" t="inlineStr">
        <is>
          <t>Japanese deck-exclusive reprint</t>
        </is>
      </c>
      <c r="I11" s="26" t="inlineStr">
        <is>
          <t>Buy the deck single rather than the full deck unless pricing is close.</t>
        </is>
      </c>
      <c r="J11" s="26" t="inlineStr">
        <is>
          <t>Azumarill 030/175 Generations Start Deck Japanese</t>
        </is>
      </c>
      <c r="K11" s="26" t="inlineStr">
        <is>
          <t>https://bulbapedia.bulbagarden.net/wiki/Azumarill_(Paldea_Evolved_45)</t>
        </is>
      </c>
      <c r="L11" s="26" t="str"/>
    </row>
    <row r="12">
      <c r="A12" s="26" t="inlineStr">
        <is>
          <t>MEDIUM</t>
        </is>
      </c>
      <c r="B12" s="26" t="inlineStr">
        <is>
          <t>Marill</t>
        </is>
      </c>
      <c r="C12" s="26" t="inlineStr">
        <is>
          <t>Paldea Evolved 44/193</t>
        </is>
      </c>
      <c r="D12" s="26" t="inlineStr">
        <is>
          <t>Generations Start Deck reprint</t>
        </is>
      </c>
      <c r="E12" s="26" t="inlineStr">
        <is>
          <t>Japanese</t>
        </is>
      </c>
      <c r="F12" s="26" t="inlineStr">
        <is>
          <t>Deck reprint</t>
        </is>
      </c>
      <c r="G12" s="26" t="inlineStr">
        <is>
          <t>VERIFIED</t>
        </is>
      </c>
      <c r="H12" s="26" t="inlineStr">
        <is>
          <t>Japanese deck reprint</t>
        </is>
      </c>
      <c r="I12" s="26" t="inlineStr">
        <is>
          <t>Buy the single.</t>
        </is>
      </c>
      <c r="J12" s="26" t="inlineStr">
        <is>
          <t>Marill Generations Start Deck 016 Snow Hazard reprint</t>
        </is>
      </c>
      <c r="K12" s="26" t="inlineStr">
        <is>
          <t>https://bulbapedia.bulbagarden.net/wiki/Marill_(Paldea_Evolved_44)</t>
        </is>
      </c>
      <c r="L12" s="26" t="inlineStr">
        <is>
          <t>Regular print was reprinted in the Japanese Generations Start Deck.</t>
        </is>
      </c>
    </row>
    <row r="13">
      <c r="A13" s="26" t="inlineStr">
        <is>
          <t>MEDIUM</t>
        </is>
      </c>
      <c r="B13" s="26" t="inlineStr">
        <is>
          <t>Marill</t>
        </is>
      </c>
      <c r="C13" s="26" t="inlineStr">
        <is>
          <t>Paldea Evolved 204/193</t>
        </is>
      </c>
      <c r="D13" s="26" t="inlineStr">
        <is>
          <t>Snow Hazard 073/071</t>
        </is>
      </c>
      <c r="E13" s="26" t="inlineStr">
        <is>
          <t>English/Japanese</t>
        </is>
      </c>
      <c r="F13" s="26" t="inlineStr">
        <is>
          <t>Illustration Rare / Art Rare</t>
        </is>
      </c>
      <c r="G13" s="26" t="inlineStr">
        <is>
          <t>VERIFIED</t>
        </is>
      </c>
      <c r="H13" s="26" t="inlineStr">
        <is>
          <t>Modern showcase artwork</t>
        </is>
      </c>
      <c r="I13" s="26" t="inlineStr">
        <is>
          <t>Buy the single rather than chase packs.</t>
        </is>
      </c>
      <c r="J13" s="26" t="inlineStr">
        <is>
          <t>Marill 204/193 Paldea Evolved 073/071 Snow Hazard</t>
        </is>
      </c>
      <c r="K13" s="26" t="inlineStr">
        <is>
          <t>https://bulbapedia.bulbagarden.net/wiki/Marill_(Paldea_Evolved_204)</t>
        </is>
      </c>
      <c r="L13" s="26" t="str"/>
    </row>
    <row r="14">
      <c r="A14" s="26" t="inlineStr">
        <is>
          <t>MEDIUM</t>
        </is>
      </c>
      <c r="B14" s="26" t="inlineStr">
        <is>
          <t>Marill</t>
        </is>
      </c>
      <c r="C14" s="26" t="inlineStr">
        <is>
          <t>Surging Sparks 73/191</t>
        </is>
      </c>
      <c r="D14" s="26" t="inlineStr">
        <is>
          <t>Stellar Tera Type Starter Set Sylveon ex + Start Deck 100 Battle Collection</t>
        </is>
      </c>
      <c r="E14" s="26" t="inlineStr">
        <is>
          <t>Japanese</t>
        </is>
      </c>
      <c r="F14" s="26" t="inlineStr">
        <is>
          <t>Deck/reprint</t>
        </is>
      </c>
      <c r="G14" s="26" t="inlineStr">
        <is>
          <t>VERIFIED</t>
        </is>
      </c>
      <c r="H14" s="26" t="inlineStr">
        <is>
          <t>Multiple Japanese product printings</t>
        </is>
      </c>
      <c r="I14" s="26" t="inlineStr">
        <is>
          <t>Buy exact numbered singles; compare card numbers before ordering.</t>
        </is>
      </c>
      <c r="J14" s="26" t="inlineStr">
        <is>
          <t>Marill Surging Sparks 73 Japanese Stellar Tera Start Deck 100</t>
        </is>
      </c>
      <c r="K14" s="26" t="inlineStr">
        <is>
          <t>https://bulbapedia.bulbagarden.net/wiki/Marill_(Surging_Sparks_73)</t>
        </is>
      </c>
      <c r="L14" s="26" t="str"/>
    </row>
    <row r="15">
      <c r="A15" s="26" t="inlineStr">
        <is>
          <t>MEDIUM</t>
        </is>
      </c>
      <c r="B15" s="26" t="inlineStr">
        <is>
          <t>Azumarill</t>
        </is>
      </c>
      <c r="C15" s="26" t="inlineStr">
        <is>
          <t>Surging Sparks 74/191</t>
        </is>
      </c>
      <c r="D15" s="26" t="inlineStr">
        <is>
          <t>Stellar Tera Type Starter Set Sylveon ex + Start Deck 100 Battle Collection</t>
        </is>
      </c>
      <c r="E15" s="26" t="inlineStr">
        <is>
          <t>Japanese</t>
        </is>
      </c>
      <c r="F15" s="26" t="inlineStr">
        <is>
          <t>Deck/reprint</t>
        </is>
      </c>
      <c r="G15" s="26" t="inlineStr">
        <is>
          <t>VERIFIED</t>
        </is>
      </c>
      <c r="H15" s="26" t="inlineStr">
        <is>
          <t>Multiple Japanese product printings</t>
        </is>
      </c>
      <c r="I15" s="26" t="inlineStr">
        <is>
          <t>Buy exact numbered singles.</t>
        </is>
      </c>
      <c r="J15" s="26" t="inlineStr">
        <is>
          <t>Azumarill Surging Sparks 74 Japanese Stellar Tera Start Deck 100</t>
        </is>
      </c>
      <c r="K15" s="26" t="inlineStr">
        <is>
          <t>https://bulbapedia.bulbagarden.net/wiki/Azumarill_(Surging_Sparks_74)</t>
        </is>
      </c>
      <c r="L15" s="26" t="str"/>
    </row>
    <row r="16">
      <c r="A16" s="26" t="inlineStr">
        <is>
          <t>LOW</t>
        </is>
      </c>
      <c r="B16" s="26" t="inlineStr">
        <is>
          <t>Family</t>
        </is>
      </c>
      <c r="C16" s="26" t="inlineStr">
        <is>
          <t>All expansion cards</t>
        </is>
      </c>
      <c r="D16" s="26" t="inlineStr">
        <is>
          <t>Reverse Holo matrix</t>
        </is>
      </c>
      <c r="E16" s="26" t="inlineStr">
        <is>
          <t>International</t>
        </is>
      </c>
      <c r="F16" s="26" t="inlineStr">
        <is>
          <t>Reverse Holo</t>
        </is>
      </c>
      <c r="G16" s="26" t="inlineStr">
        <is>
          <t>RULE VERIFIED / ROWS PENDING</t>
        </is>
      </c>
      <c r="H16" s="26" t="inlineStr">
        <is>
          <t>Core Level 3 finish category</t>
        </is>
      </c>
      <c r="I16" s="26" t="inlineStr">
        <is>
          <t>Buy singles. Never open old sealed packs solely to find a reverse holo.</t>
        </is>
      </c>
      <c r="J16" s="26" t="inlineStr">
        <is>
          <t>Pokemon name set card number reverse holo language</t>
        </is>
      </c>
      <c r="K16" s="26" t="inlineStr">
        <is>
          <t>https://bulbapedia.bulbagarden.net/wiki/Reverse_Holo</t>
        </is>
      </c>
      <c r="L16" s="26" t="inlineStr">
        <is>
          <t>Reverse holo counterparts are generally available for set cards from Legendary Collection onward, with exceptions. Each family card still needs card-specific verification.</t>
        </is>
      </c>
    </row>
  </sheetData>
  <conditionalFormatting sqref="G2:G16">
    <cfRule type="expression" priority="1" dxfId="0">
      <formula>G2="VERIFIED"</formula>
    </cfRule>
    <cfRule type="expression" priority="2" dxfId="1">
      <formula>G2="PARTIAL"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cols>
    <col width="8" customWidth="1" style="37" min="1" max="1"/>
    <col width="12" customWidth="1" style="37" min="2" max="2"/>
    <col width="20" customWidth="1" style="37" min="3" max="3"/>
    <col width="12" customWidth="1" style="37" min="4" max="4"/>
    <col width="14" customWidth="1" style="37" min="5" max="5"/>
    <col width="34" customWidth="1" style="37" min="6" max="6"/>
    <col width="13" customWidth="1" style="37" min="7" max="7"/>
    <col width="34" customWidth="1" style="37" min="8" max="8"/>
    <col width="30" customWidth="1" style="37" min="9" max="9"/>
    <col width="30" customWidth="1" style="37" min="10" max="10"/>
    <col width="22" customWidth="1" style="37" min="11" max="11"/>
    <col width="48" customWidth="1" style="37" min="12" max="12"/>
    <col width="44" customWidth="1" style="37" min="13" max="13"/>
    <col width="12" customWidth="1" style="37" min="14" max="14"/>
    <col width="12" customWidth="1" style="37" min="15" max="15"/>
    <col width="10" customWidth="1" style="37" min="16" max="16"/>
    <col width="12" customWidth="1" style="37" min="17" max="17"/>
    <col width="30" customWidth="1" style="37" min="18" max="18"/>
    <col width="48" customWidth="1" style="37" min="19" max="19"/>
  </cols>
  <sheetData>
    <row r="1">
      <c r="A1" s="55" t="inlineStr">
        <is>
          <t>Core ID</t>
        </is>
      </c>
      <c r="B1" s="26" t="inlineStr">
        <is>
          <t>Species</t>
        </is>
      </c>
      <c r="C1" s="26" t="inlineStr">
        <is>
          <t>Card / Variant</t>
        </is>
      </c>
      <c r="D1" s="26" t="inlineStr">
        <is>
          <t>Language</t>
        </is>
      </c>
      <c r="E1" s="26" t="inlineStr">
        <is>
          <t>Region</t>
        </is>
      </c>
      <c r="F1" s="26" t="inlineStr">
        <is>
          <t>Set / Product</t>
        </is>
      </c>
      <c r="G1" s="26" t="inlineStr">
        <is>
          <t>Card #</t>
        </is>
      </c>
      <c r="H1" s="26" t="inlineStr">
        <is>
          <t>Finish Target</t>
        </is>
      </c>
      <c r="I1" s="26" t="inlineStr">
        <is>
          <t>Special Printing</t>
        </is>
      </c>
      <c r="J1" s="26" t="inlineStr">
        <is>
          <t>Fun Tags</t>
        </is>
      </c>
      <c r="K1" s="26" t="inlineStr">
        <is>
          <t>Pack / Product Status</t>
        </is>
      </c>
      <c r="L1" s="26" t="inlineStr">
        <is>
          <t>Best Way to Get It</t>
        </is>
      </c>
      <c r="M1" s="26" t="inlineStr">
        <is>
          <t>Pasteable Search</t>
        </is>
      </c>
      <c r="N1" s="26" t="inlineStr">
        <is>
          <t>Difficulty</t>
        </is>
      </c>
      <c r="O1" s="26" t="inlineStr">
        <is>
          <t>Status</t>
        </is>
      </c>
      <c r="P1" s="26" t="inlineStr">
        <is>
          <t>Qty Owned</t>
        </is>
      </c>
      <c r="Q1" s="26" t="inlineStr">
        <is>
          <t>Price Paid</t>
        </is>
      </c>
      <c r="R1" s="26" t="inlineStr">
        <is>
          <t>Notes</t>
        </is>
      </c>
      <c r="S1" s="26" t="inlineStr">
        <is>
          <t>Source URL</t>
        </is>
      </c>
    </row>
    <row r="2">
      <c r="A2" s="26" t="n">
        <v>1</v>
      </c>
      <c r="B2" s="26" t="inlineStr">
        <is>
          <t>Azurill</t>
        </is>
      </c>
      <c r="C2" s="26" t="inlineStr">
        <is>
          <t>Azurill</t>
        </is>
      </c>
      <c r="D2" s="26" t="inlineStr">
        <is>
          <t>English</t>
        </is>
      </c>
      <c r="E2" s="26" t="inlineStr">
        <is>
          <t>International</t>
        </is>
      </c>
      <c r="F2" s="26" t="inlineStr">
        <is>
          <t>EX Sandstorm</t>
        </is>
      </c>
      <c r="G2" s="26" t="inlineStr">
        <is>
          <t>31/100</t>
        </is>
      </c>
      <c r="H2" s="26" t="inlineStr">
        <is>
          <t>Standard</t>
        </is>
      </c>
      <c r="I2" s="26" t="n"/>
      <c r="J2" s="26" t="n"/>
      <c r="K2" s="26" t="inlineStr">
        <is>
          <t>Out of print</t>
        </is>
      </c>
      <c r="L2" s="26" t="inlineStr">
        <is>
          <t>Buy the single. Start with TCGplayer/eBay or a local card show; bundle cheap cards from one seller.</t>
        </is>
      </c>
      <c r="M2" s="26" t="inlineStr">
        <is>
          <t>Azurill 31/100 EX Sandstorm English Standard</t>
        </is>
      </c>
      <c r="N2" s="26" t="inlineStr">
        <is>
          <t>Easy</t>
        </is>
      </c>
      <c r="O2" s="26" t="inlineStr">
        <is>
          <t>NEED</t>
        </is>
      </c>
      <c r="P2" s="26" t="n">
        <v>0</v>
      </c>
      <c r="Q2" s="26" t="n"/>
      <c r="R2" s="26" t="inlineStr">
        <is>
          <t>add official reverse/holo counterpart if issued; add official reverse/holo counterpart if issued; add official reverse/holo counterpart if issued; StableKey=AZF-001</t>
        </is>
      </c>
      <c r="S2" s="26" t="inlineStr">
        <is>
          <t>https://bulbapedia.bulbagarden.net/wiki/Azurill_(TCG)</t>
        </is>
      </c>
    </row>
    <row r="3">
      <c r="A3" s="26" t="n">
        <v>2</v>
      </c>
      <c r="B3" s="26" t="inlineStr">
        <is>
          <t>Azurill</t>
        </is>
      </c>
      <c r="C3" s="26" t="inlineStr">
        <is>
          <t>Azurill</t>
        </is>
      </c>
      <c r="D3" s="26" t="inlineStr">
        <is>
          <t>English</t>
        </is>
      </c>
      <c r="E3" s="26" t="inlineStr">
        <is>
          <t>International</t>
        </is>
      </c>
      <c r="F3" s="26" t="inlineStr">
        <is>
          <t>EX Sandstorm</t>
        </is>
      </c>
      <c r="G3" s="26" t="inlineStr">
        <is>
          <t>31/100</t>
        </is>
      </c>
      <c r="H3" s="26" t="inlineStr">
        <is>
          <t>Reverse Holo</t>
        </is>
      </c>
      <c r="I3" s="26" t="inlineStr">
        <is>
          <t>Reverse Holo</t>
        </is>
      </c>
      <c r="J3" s="26" t="n"/>
      <c r="K3" s="26" t="inlineStr">
        <is>
          <t>Out of print</t>
        </is>
      </c>
      <c r="L3" s="26" t="inlineStr">
        <is>
          <t>Buy the single. Start with TCGplayer/eBay or a local card show; bundle cheap cards from one seller.</t>
        </is>
      </c>
      <c r="M3" s="26" t="inlineStr">
        <is>
          <t>Azurill 31/100 EX Sandstorm English Reverse Holo</t>
        </is>
      </c>
      <c r="N3" s="26" t="inlineStr">
        <is>
          <t>Easy</t>
        </is>
      </c>
      <c r="O3" s="26" t="inlineStr">
        <is>
          <t>NEED</t>
        </is>
      </c>
      <c r="P3" s="26" t="n">
        <v>0</v>
      </c>
      <c r="Q3" s="26" t="n"/>
      <c r="R3" s="26" t="inlineStr">
        <is>
          <t>add official reverse/holo counterpart if issued; add official reverse/holo counterpart if issued; add official reverse/holo counterpart if issued; StableKey=AZF-002</t>
        </is>
      </c>
      <c r="S3" s="26" t="inlineStr">
        <is>
          <t>https://bulbapedia.bulbagarden.net/wiki/Azurill_(TCG)</t>
        </is>
      </c>
    </row>
    <row r="4">
      <c r="A4" s="26" t="n">
        <v>3</v>
      </c>
      <c r="B4" s="26" t="inlineStr">
        <is>
          <t>Azurill</t>
        </is>
      </c>
      <c r="C4" s="26" t="inlineStr">
        <is>
          <t>Azurill</t>
        </is>
      </c>
      <c r="D4" s="26" t="inlineStr">
        <is>
          <t>Japanese</t>
        </is>
      </c>
      <c r="E4" s="26" t="inlineStr">
        <is>
          <t>Japan</t>
        </is>
      </c>
      <c r="F4" s="26" t="inlineStr">
        <is>
          <t>Miracle of the Desert</t>
        </is>
      </c>
      <c r="G4" s="26" t="inlineStr">
        <is>
          <t>041/053</t>
        </is>
      </c>
      <c r="H4" s="26" t="inlineStr">
        <is>
          <t>1st Edition</t>
        </is>
      </c>
      <c r="I4" s="26" t="inlineStr">
        <is>
          <t>1st Edition</t>
        </is>
      </c>
      <c r="J4" s="26" t="n"/>
      <c r="K4" s="26" t="inlineStr">
        <is>
          <t>Out of print</t>
        </is>
      </c>
      <c r="L4" s="26" t="inlineStr">
        <is>
          <t>Buy the Japanese single. Use eBay/Cardmarket or Mercari/Yahoo Japan through a proxy; bundle proxy orders.</t>
        </is>
      </c>
      <c r="M4" s="26" t="inlineStr">
        <is>
          <t>Azurill 041/053 Miracle of the Desert Japanese 1st Edition</t>
        </is>
      </c>
      <c r="N4" s="26" t="inlineStr">
        <is>
          <t>Medium</t>
        </is>
      </c>
      <c r="O4" s="26" t="inlineStr">
        <is>
          <t>NEED</t>
        </is>
      </c>
      <c r="P4" s="26" t="n">
        <v>0</v>
      </c>
      <c r="Q4" s="26" t="n"/>
      <c r="R4" s="26" t="inlineStr">
        <is>
          <t>StableKey=AZF-003</t>
        </is>
      </c>
      <c r="S4" s="26" t="inlineStr">
        <is>
          <t>https://bulbapedia.bulbagarden.net/wiki/Azurill_(TCG)</t>
        </is>
      </c>
    </row>
    <row r="5">
      <c r="A5" s="26" t="n">
        <v>4</v>
      </c>
      <c r="B5" s="26" t="inlineStr">
        <is>
          <t>Azurill</t>
        </is>
      </c>
      <c r="C5" s="26" t="inlineStr">
        <is>
          <t>Azurill</t>
        </is>
      </c>
      <c r="D5" s="26" t="inlineStr">
        <is>
          <t>Japanese</t>
        </is>
      </c>
      <c r="E5" s="26" t="inlineStr">
        <is>
          <t>Japan</t>
        </is>
      </c>
      <c r="F5" s="26" t="inlineStr">
        <is>
          <t>Miracle of the Desert</t>
        </is>
      </c>
      <c r="G5" s="26" t="inlineStr">
        <is>
          <t>041/053</t>
        </is>
      </c>
      <c r="H5" s="26" t="inlineStr">
        <is>
          <t>Unlimited</t>
        </is>
      </c>
      <c r="I5" s="26" t="inlineStr">
        <is>
          <t>Unlimited</t>
        </is>
      </c>
      <c r="J5" s="26" t="n"/>
      <c r="K5" s="26" t="inlineStr">
        <is>
          <t>Out of print</t>
        </is>
      </c>
      <c r="L5" s="26" t="inlineStr">
        <is>
          <t>Buy the Japanese single. Use eBay/Cardmarket or Mercari/Yahoo Japan through a proxy; bundle proxy orders.</t>
        </is>
      </c>
      <c r="M5" s="26" t="inlineStr">
        <is>
          <t>Azurill 041/053 Miracle of the Desert Japanese Unlimited</t>
        </is>
      </c>
      <c r="N5" s="26" t="inlineStr">
        <is>
          <t>Medium</t>
        </is>
      </c>
      <c r="O5" s="26" t="inlineStr">
        <is>
          <t>NEED</t>
        </is>
      </c>
      <c r="P5" s="26" t="n">
        <v>0</v>
      </c>
      <c r="Q5" s="26" t="n"/>
      <c r="R5" s="26" t="inlineStr">
        <is>
          <t>StableKey=AZF-004</t>
        </is>
      </c>
      <c r="S5" s="26" t="inlineStr">
        <is>
          <t>https://bulbapedia.bulbagarden.net/wiki/Azurill_(TCG)</t>
        </is>
      </c>
    </row>
    <row r="6">
      <c r="A6" s="26" t="n">
        <v>5</v>
      </c>
      <c r="B6" s="26" t="inlineStr">
        <is>
          <t>Azurill</t>
        </is>
      </c>
      <c r="C6" s="26" t="inlineStr">
        <is>
          <t>Azurill</t>
        </is>
      </c>
      <c r="D6" s="26" t="inlineStr">
        <is>
          <t>English</t>
        </is>
      </c>
      <c r="E6" s="26" t="inlineStr">
        <is>
          <t>International</t>
        </is>
      </c>
      <c r="F6" s="26" t="inlineStr">
        <is>
          <t>EX Delta Species</t>
        </is>
      </c>
      <c r="G6" s="26" t="inlineStr">
        <is>
          <t>20/113</t>
        </is>
      </c>
      <c r="H6" s="26" t="inlineStr">
        <is>
          <t>Standard</t>
        </is>
      </c>
      <c r="I6" s="26" t="n"/>
      <c r="J6" s="26" t="n"/>
      <c r="K6" s="26" t="inlineStr">
        <is>
          <t>Out of print</t>
        </is>
      </c>
      <c r="L6" s="26" t="inlineStr">
        <is>
          <t>Buy the single. Start with TCGplayer/eBay or a local card show; bundle cheap cards from one seller.</t>
        </is>
      </c>
      <c r="M6" s="26" t="inlineStr">
        <is>
          <t>Azurill 20/113 EX Delta Species English Standard</t>
        </is>
      </c>
      <c r="N6" s="26" t="inlineStr">
        <is>
          <t>Easy</t>
        </is>
      </c>
      <c r="O6" s="26" t="inlineStr">
        <is>
          <t>NEED</t>
        </is>
      </c>
      <c r="P6" s="26" t="n">
        <v>0</v>
      </c>
      <c r="Q6" s="26" t="n"/>
      <c r="R6" s="26" t="inlineStr">
        <is>
          <t>add official reverse/holo counterpart if issued; add official reverse/holo counterpart if issued; add official reverse/holo counterpart if issued; StableKey=AZF-005</t>
        </is>
      </c>
      <c r="S6" s="26" t="inlineStr">
        <is>
          <t>https://bulbapedia.bulbagarden.net/wiki/Azurill_(TCG)</t>
        </is>
      </c>
    </row>
    <row r="7">
      <c r="A7" s="26" t="n">
        <v>6</v>
      </c>
      <c r="B7" s="26" t="inlineStr">
        <is>
          <t>Azurill</t>
        </is>
      </c>
      <c r="C7" s="26" t="inlineStr">
        <is>
          <t>Azurill</t>
        </is>
      </c>
      <c r="D7" s="26" t="inlineStr">
        <is>
          <t>English</t>
        </is>
      </c>
      <c r="E7" s="26" t="inlineStr">
        <is>
          <t>International</t>
        </is>
      </c>
      <c r="F7" s="26" t="inlineStr">
        <is>
          <t>EX Delta Species</t>
        </is>
      </c>
      <c r="G7" s="26" t="inlineStr">
        <is>
          <t>20/113</t>
        </is>
      </c>
      <c r="H7" s="26" t="inlineStr">
        <is>
          <t>Reverse Holo</t>
        </is>
      </c>
      <c r="I7" s="26" t="inlineStr">
        <is>
          <t>Reverse Holo</t>
        </is>
      </c>
      <c r="J7" s="26" t="n"/>
      <c r="K7" s="26" t="inlineStr">
        <is>
          <t>Out of print</t>
        </is>
      </c>
      <c r="L7" s="26" t="inlineStr">
        <is>
          <t>Buy the single. Start with TCGplayer/eBay or a local card show; bundle cheap cards from one seller.</t>
        </is>
      </c>
      <c r="M7" s="26" t="inlineStr">
        <is>
          <t>Azurill 20/113 EX Delta Species English Reverse Holo</t>
        </is>
      </c>
      <c r="N7" s="26" t="inlineStr">
        <is>
          <t>Easy</t>
        </is>
      </c>
      <c r="O7" s="26" t="inlineStr">
        <is>
          <t>NEED</t>
        </is>
      </c>
      <c r="P7" s="26" t="n">
        <v>0</v>
      </c>
      <c r="Q7" s="26" t="n"/>
      <c r="R7" s="26" t="inlineStr">
        <is>
          <t>add official reverse/holo counterpart if issued; add official reverse/holo counterpart if issued; add official reverse/holo counterpart if issued; StableKey=AZF-006</t>
        </is>
      </c>
      <c r="S7" s="26" t="inlineStr">
        <is>
          <t>https://bulbapedia.bulbagarden.net/wiki/Azurill_(TCG)</t>
        </is>
      </c>
    </row>
    <row r="8">
      <c r="A8" s="26" t="n">
        <v>7</v>
      </c>
      <c r="B8" s="26" t="inlineStr">
        <is>
          <t>Azurill</t>
        </is>
      </c>
      <c r="C8" s="26" t="inlineStr">
        <is>
          <t>Azurill</t>
        </is>
      </c>
      <c r="D8" s="26" t="inlineStr">
        <is>
          <t>Japanese</t>
        </is>
      </c>
      <c r="E8" s="26" t="inlineStr">
        <is>
          <t>Japan</t>
        </is>
      </c>
      <c r="F8" s="26" t="inlineStr">
        <is>
          <t>Holon Research Tower</t>
        </is>
      </c>
      <c r="G8" s="26" t="inlineStr">
        <is>
          <t>066/086</t>
        </is>
      </c>
      <c r="H8" s="26" t="inlineStr">
        <is>
          <t>1st Edition</t>
        </is>
      </c>
      <c r="I8" s="26" t="inlineStr">
        <is>
          <t>1st Edition</t>
        </is>
      </c>
      <c r="J8" s="26" t="n"/>
      <c r="K8" s="26" t="inlineStr">
        <is>
          <t>Out of print</t>
        </is>
      </c>
      <c r="L8" s="26" t="inlineStr">
        <is>
          <t>Buy the Japanese single. Use eBay/Cardmarket or Mercari/Yahoo Japan through a proxy; bundle proxy orders.</t>
        </is>
      </c>
      <c r="M8" s="26" t="inlineStr">
        <is>
          <t>Azurill 066/086 Holon Research Tower Japanese 1st Edition</t>
        </is>
      </c>
      <c r="N8" s="26" t="inlineStr">
        <is>
          <t>Medium</t>
        </is>
      </c>
      <c r="O8" s="26" t="inlineStr">
        <is>
          <t>NEED</t>
        </is>
      </c>
      <c r="P8" s="26" t="n">
        <v>0</v>
      </c>
      <c r="Q8" s="26" t="n"/>
      <c r="R8" s="26" t="inlineStr">
        <is>
          <t>StableKey=AZF-007</t>
        </is>
      </c>
      <c r="S8" s="26" t="inlineStr">
        <is>
          <t>https://bulbapedia.bulbagarden.net/wiki/Azurill_(TCG)</t>
        </is>
      </c>
    </row>
    <row r="9">
      <c r="A9" s="26" t="n">
        <v>8</v>
      </c>
      <c r="B9" s="26" t="inlineStr">
        <is>
          <t>Azurill</t>
        </is>
      </c>
      <c r="C9" s="26" t="inlineStr">
        <is>
          <t>Azurill</t>
        </is>
      </c>
      <c r="D9" s="26" t="inlineStr">
        <is>
          <t>Japanese</t>
        </is>
      </c>
      <c r="E9" s="26" t="inlineStr">
        <is>
          <t>Japan</t>
        </is>
      </c>
      <c r="F9" s="26" t="inlineStr">
        <is>
          <t>Holon Research Tower</t>
        </is>
      </c>
      <c r="G9" s="26" t="inlineStr">
        <is>
          <t>066/086</t>
        </is>
      </c>
      <c r="H9" s="26" t="inlineStr">
        <is>
          <t>Unlimited</t>
        </is>
      </c>
      <c r="I9" s="26" t="inlineStr">
        <is>
          <t>Unlimited</t>
        </is>
      </c>
      <c r="J9" s="26" t="n"/>
      <c r="K9" s="26" t="inlineStr">
        <is>
          <t>Out of print</t>
        </is>
      </c>
      <c r="L9" s="26" t="inlineStr">
        <is>
          <t>Buy the Japanese single. Use eBay/Cardmarket or Mercari/Yahoo Japan through a proxy; bundle proxy orders.</t>
        </is>
      </c>
      <c r="M9" s="26" t="inlineStr">
        <is>
          <t>Azurill 066/086 Holon Research Tower Japanese Unlimited</t>
        </is>
      </c>
      <c r="N9" s="26" t="inlineStr">
        <is>
          <t>Medium</t>
        </is>
      </c>
      <c r="O9" s="26" t="inlineStr">
        <is>
          <t>NEED</t>
        </is>
      </c>
      <c r="P9" s="26" t="n">
        <v>0</v>
      </c>
      <c r="Q9" s="26" t="n"/>
      <c r="R9" s="26" t="inlineStr">
        <is>
          <t>StableKey=AZF-008</t>
        </is>
      </c>
      <c r="S9" s="26" t="inlineStr">
        <is>
          <t>https://bulbapedia.bulbagarden.net/wiki/Azurill_(TCG)</t>
        </is>
      </c>
    </row>
    <row r="10">
      <c r="A10" s="26" t="n">
        <v>9</v>
      </c>
      <c r="B10" s="26" t="inlineStr">
        <is>
          <t>Azurill</t>
        </is>
      </c>
      <c r="C10" s="26" t="inlineStr">
        <is>
          <t>Azurill</t>
        </is>
      </c>
      <c r="D10" s="26" t="inlineStr">
        <is>
          <t>English</t>
        </is>
      </c>
      <c r="E10" s="26" t="inlineStr">
        <is>
          <t>International</t>
        </is>
      </c>
      <c r="F10" s="26" t="inlineStr">
        <is>
          <t>Diamond &amp; Pearl</t>
        </is>
      </c>
      <c r="G10" s="26" t="inlineStr">
        <is>
          <t>69/130</t>
        </is>
      </c>
      <c r="H10" s="26" t="inlineStr">
        <is>
          <t>Standard</t>
        </is>
      </c>
      <c r="I10" s="26" t="n"/>
      <c r="J10" s="26" t="n"/>
      <c r="K10" s="26" t="inlineStr">
        <is>
          <t>Out of print</t>
        </is>
      </c>
      <c r="L10" s="26" t="inlineStr">
        <is>
          <t>Buy the single. Start with TCGplayer/eBay or a local card show; bundle cheap cards from one seller.</t>
        </is>
      </c>
      <c r="M10" s="26" t="inlineStr">
        <is>
          <t>Azurill 69/130 Diamond &amp; Pearl English Standard</t>
        </is>
      </c>
      <c r="N10" s="26" t="inlineStr">
        <is>
          <t>Easy</t>
        </is>
      </c>
      <c r="O10" s="26" t="inlineStr">
        <is>
          <t>NEED</t>
        </is>
      </c>
      <c r="P10" s="26" t="n">
        <v>0</v>
      </c>
      <c r="Q10" s="26" t="n"/>
      <c r="R10" s="26" t="inlineStr">
        <is>
          <t>add official reverse/holo counterpart if issued; add official reverse/holo counterpart if issued; add official reverse/holo counterpart if issued; StableKey=AZF-009</t>
        </is>
      </c>
      <c r="S10" s="26" t="inlineStr">
        <is>
          <t>https://bulbapedia.bulbagarden.net/wiki/Azurill_(TCG)</t>
        </is>
      </c>
    </row>
    <row r="11">
      <c r="A11" s="26" t="n">
        <v>10</v>
      </c>
      <c r="B11" s="26" t="inlineStr">
        <is>
          <t>Azurill</t>
        </is>
      </c>
      <c r="C11" s="26" t="inlineStr">
        <is>
          <t>Azurill</t>
        </is>
      </c>
      <c r="D11" s="26" t="inlineStr">
        <is>
          <t>English</t>
        </is>
      </c>
      <c r="E11" s="26" t="inlineStr">
        <is>
          <t>International</t>
        </is>
      </c>
      <c r="F11" s="26" t="inlineStr">
        <is>
          <t>Diamond &amp; Pearl</t>
        </is>
      </c>
      <c r="G11" s="26" t="inlineStr">
        <is>
          <t>69/130</t>
        </is>
      </c>
      <c r="H11" s="26" t="inlineStr">
        <is>
          <t>Reverse Holo</t>
        </is>
      </c>
      <c r="I11" s="26" t="inlineStr">
        <is>
          <t>Reverse Holo</t>
        </is>
      </c>
      <c r="J11" s="26" t="n"/>
      <c r="K11" s="26" t="inlineStr">
        <is>
          <t>Out of print</t>
        </is>
      </c>
      <c r="L11" s="26" t="inlineStr">
        <is>
          <t>Buy the single. Start with TCGplayer/eBay or a local card show; bundle cheap cards from one seller.</t>
        </is>
      </c>
      <c r="M11" s="26" t="inlineStr">
        <is>
          <t>Azurill 69/130 Diamond &amp; Pearl English Reverse Holo</t>
        </is>
      </c>
      <c r="N11" s="26" t="inlineStr">
        <is>
          <t>Easy</t>
        </is>
      </c>
      <c r="O11" s="26" t="inlineStr">
        <is>
          <t>NEED</t>
        </is>
      </c>
      <c r="P11" s="26" t="n">
        <v>0</v>
      </c>
      <c r="Q11" s="26" t="n"/>
      <c r="R11" s="26" t="inlineStr">
        <is>
          <t>add official reverse/holo counterpart if issued; add official reverse/holo counterpart if issued; add official reverse/holo counterpart if issued; StableKey=AZF-010</t>
        </is>
      </c>
      <c r="S11" s="26" t="inlineStr">
        <is>
          <t>https://bulbapedia.bulbagarden.net/wiki/Azurill_(TCG)</t>
        </is>
      </c>
    </row>
    <row r="12">
      <c r="A12" s="26" t="n">
        <v>11</v>
      </c>
      <c r="B12" s="26" t="inlineStr">
        <is>
          <t>Azurill</t>
        </is>
      </c>
      <c r="C12" s="26" t="inlineStr">
        <is>
          <t>Azurill</t>
        </is>
      </c>
      <c r="D12" s="26" t="inlineStr">
        <is>
          <t>Spanish</t>
        </is>
      </c>
      <c r="E12" s="26" t="inlineStr">
        <is>
          <t>International</t>
        </is>
      </c>
      <c r="F12" s="26" t="inlineStr">
        <is>
          <t>Diamond &amp; Pearl</t>
        </is>
      </c>
      <c r="G12" s="26" t="inlineStr">
        <is>
          <t>69/130</t>
        </is>
      </c>
      <c r="H12" s="26" t="inlineStr">
        <is>
          <t>Standard</t>
        </is>
      </c>
      <c r="I12" s="26" t="n"/>
      <c r="J12" s="26" t="n"/>
      <c r="K12" s="26" t="inlineStr">
        <is>
          <t>Out of print</t>
        </is>
      </c>
      <c r="L12" s="26" t="inlineStr">
        <is>
          <t>Buy the Spanish single. Cardmarket/eBay are usually best; filter Language = Spanish and bundle orders.</t>
        </is>
      </c>
      <c r="M12" s="26" t="inlineStr">
        <is>
          <t>Azurill 69/130 Diamond &amp; Pearl Spanish Standard</t>
        </is>
      </c>
      <c r="N12" s="26" t="inlineStr">
        <is>
          <t>Medium</t>
        </is>
      </c>
      <c r="O12" s="26" t="inlineStr">
        <is>
          <t>NEED</t>
        </is>
      </c>
      <c r="P12" s="26" t="n">
        <v>0</v>
      </c>
      <c r="Q12" s="26" t="n"/>
      <c r="R12" s="26" t="inlineStr">
        <is>
          <t>add official reverse/holo counterpart if issued; add official reverse/holo counterpart if issued; add official reverse/holo counterpart if issued; StableKey=AZF-011</t>
        </is>
      </c>
      <c r="S12" s="26" t="inlineStr">
        <is>
          <t>https://bulbapedia.bulbagarden.net/wiki/Azurill_(TCG)</t>
        </is>
      </c>
    </row>
    <row r="13">
      <c r="A13" s="26" t="n">
        <v>12</v>
      </c>
      <c r="B13" s="26" t="inlineStr">
        <is>
          <t>Azurill</t>
        </is>
      </c>
      <c r="C13" s="26" t="inlineStr">
        <is>
          <t>Azurill</t>
        </is>
      </c>
      <c r="D13" s="26" t="inlineStr">
        <is>
          <t>Japanese</t>
        </is>
      </c>
      <c r="E13" s="26" t="inlineStr">
        <is>
          <t>Japan</t>
        </is>
      </c>
      <c r="F13" s="26" t="inlineStr">
        <is>
          <t>Space-Time Creation</t>
        </is>
      </c>
      <c r="G13" s="26" t="n"/>
      <c r="H13" s="26" t="inlineStr">
        <is>
          <t>1st Edition</t>
        </is>
      </c>
      <c r="I13" s="26" t="inlineStr">
        <is>
          <t>1st Edition</t>
        </is>
      </c>
      <c r="J13" s="26" t="n"/>
      <c r="K13" s="26" t="inlineStr">
        <is>
          <t>Out of print</t>
        </is>
      </c>
      <c r="L13" s="26" t="inlineStr">
        <is>
          <t>Buy the Japanese single. Use eBay/Cardmarket or Mercari/Yahoo Japan through a proxy; bundle proxy orders.</t>
        </is>
      </c>
      <c r="M13" s="26" t="inlineStr">
        <is>
          <t>Azurill Space-Time Creation Japanese 1st Edition</t>
        </is>
      </c>
      <c r="N13" s="26" t="inlineStr">
        <is>
          <t>Medium</t>
        </is>
      </c>
      <c r="O13" s="26" t="inlineStr">
        <is>
          <t>NEED</t>
        </is>
      </c>
      <c r="P13" s="26" t="n">
        <v>0</v>
      </c>
      <c r="Q13" s="26" t="n"/>
      <c r="R13" s="26" t="inlineStr">
        <is>
          <t>StableKey=AZF-012</t>
        </is>
      </c>
      <c r="S13" s="26" t="inlineStr">
        <is>
          <t>https://bulbapedia.bulbagarden.net/wiki/Azurill_(TCG)</t>
        </is>
      </c>
    </row>
    <row r="14">
      <c r="A14" s="26" t="n">
        <v>13</v>
      </c>
      <c r="B14" s="26" t="inlineStr">
        <is>
          <t>Azurill</t>
        </is>
      </c>
      <c r="C14" s="26" t="inlineStr">
        <is>
          <t>Azurill</t>
        </is>
      </c>
      <c r="D14" s="26" t="inlineStr">
        <is>
          <t>Japanese</t>
        </is>
      </c>
      <c r="E14" s="26" t="inlineStr">
        <is>
          <t>Japan</t>
        </is>
      </c>
      <c r="F14" s="26" t="inlineStr">
        <is>
          <t>Space-Time Creation</t>
        </is>
      </c>
      <c r="G14" s="26" t="n"/>
      <c r="H14" s="26" t="inlineStr">
        <is>
          <t>Unlimited</t>
        </is>
      </c>
      <c r="I14" s="26" t="inlineStr">
        <is>
          <t>Unlimited</t>
        </is>
      </c>
      <c r="J14" s="26" t="n"/>
      <c r="K14" s="26" t="inlineStr">
        <is>
          <t>Out of print</t>
        </is>
      </c>
      <c r="L14" s="26" t="inlineStr">
        <is>
          <t>Buy the Japanese single. Use eBay/Cardmarket or Mercari/Yahoo Japan through a proxy; bundle proxy orders.</t>
        </is>
      </c>
      <c r="M14" s="26" t="inlineStr">
        <is>
          <t>Azurill Space-Time Creation Japanese Unlimited</t>
        </is>
      </c>
      <c r="N14" s="26" t="inlineStr">
        <is>
          <t>Medium</t>
        </is>
      </c>
      <c r="O14" s="26" t="inlineStr">
        <is>
          <t>NEED</t>
        </is>
      </c>
      <c r="P14" s="26" t="n">
        <v>0</v>
      </c>
      <c r="Q14" s="26" t="n"/>
      <c r="R14" s="26" t="inlineStr">
        <is>
          <t>StableKey=AZF-013</t>
        </is>
      </c>
      <c r="S14" s="26" t="inlineStr">
        <is>
          <t>https://bulbapedia.bulbagarden.net/wiki/Azurill_(TCG)</t>
        </is>
      </c>
    </row>
    <row r="15">
      <c r="A15" s="26" t="n">
        <v>14</v>
      </c>
      <c r="B15" s="26" t="inlineStr">
        <is>
          <t>Azurill</t>
        </is>
      </c>
      <c r="C15" s="26" t="inlineStr">
        <is>
          <t>Azurill</t>
        </is>
      </c>
      <c r="D15" s="26" t="inlineStr">
        <is>
          <t>English</t>
        </is>
      </c>
      <c r="E15" s="26" t="inlineStr">
        <is>
          <t>International</t>
        </is>
      </c>
      <c r="F15" s="26" t="inlineStr">
        <is>
          <t>Cosmic Eclipse</t>
        </is>
      </c>
      <c r="G15" s="26" t="inlineStr">
        <is>
          <t>146/236</t>
        </is>
      </c>
      <c r="H15" s="26" t="inlineStr">
        <is>
          <t>Standard</t>
        </is>
      </c>
      <c r="I15" s="26" t="n"/>
      <c r="J15" s="26" t="inlineStr">
        <is>
          <t>Asako Ito</t>
        </is>
      </c>
      <c r="K15" s="26" t="inlineStr">
        <is>
          <t>Out of print</t>
        </is>
      </c>
      <c r="L15" s="26" t="inlineStr">
        <is>
          <t>Buy the single. Start with TCGplayer/eBay or a local card show; bundle cheap cards from one seller.</t>
        </is>
      </c>
      <c r="M15" s="26" t="inlineStr">
        <is>
          <t>Azurill 146/236 Cosmic Eclipse English Standard</t>
        </is>
      </c>
      <c r="N15" s="26" t="inlineStr">
        <is>
          <t>Easy</t>
        </is>
      </c>
      <c r="O15" s="26" t="inlineStr">
        <is>
          <t>NEED</t>
        </is>
      </c>
      <c r="P15" s="26" t="n">
        <v>0</v>
      </c>
      <c r="Q15" s="26" t="n"/>
      <c r="R15" s="26" t="inlineStr">
        <is>
          <t>add official reverse/holo counterpart if issued; add official reverse/holo counterpart if issued; add official reverse/holo counterpart if issued; StableKey=AZF-014</t>
        </is>
      </c>
      <c r="S15" s="26" t="inlineStr">
        <is>
          <t>https://bulbapedia.bulbagarden.net/wiki/Azurill_(TCG)</t>
        </is>
      </c>
    </row>
    <row r="16">
      <c r="A16" s="26" t="n">
        <v>15</v>
      </c>
      <c r="B16" s="26" t="inlineStr">
        <is>
          <t>Azurill</t>
        </is>
      </c>
      <c r="C16" s="26" t="inlineStr">
        <is>
          <t>Azurill</t>
        </is>
      </c>
      <c r="D16" s="26" t="inlineStr">
        <is>
          <t>English</t>
        </is>
      </c>
      <c r="E16" s="26" t="inlineStr">
        <is>
          <t>International</t>
        </is>
      </c>
      <c r="F16" s="26" t="inlineStr">
        <is>
          <t>Cosmic Eclipse</t>
        </is>
      </c>
      <c r="G16" s="26" t="inlineStr">
        <is>
          <t>146/236</t>
        </is>
      </c>
      <c r="H16" s="26" t="inlineStr">
        <is>
          <t>Reverse Holo</t>
        </is>
      </c>
      <c r="I16" s="26" t="inlineStr">
        <is>
          <t>Reverse Holo</t>
        </is>
      </c>
      <c r="J16" s="26" t="inlineStr">
        <is>
          <t>Asako Ito</t>
        </is>
      </c>
      <c r="K16" s="26" t="inlineStr">
        <is>
          <t>Out of print</t>
        </is>
      </c>
      <c r="L16" s="26" t="inlineStr">
        <is>
          <t>Buy the single. Start with TCGplayer/eBay or a local card show; bundle cheap cards from one seller.</t>
        </is>
      </c>
      <c r="M16" s="26" t="inlineStr">
        <is>
          <t>Azurill 146/236 Cosmic Eclipse English Reverse Holo</t>
        </is>
      </c>
      <c r="N16" s="26" t="inlineStr">
        <is>
          <t>Easy</t>
        </is>
      </c>
      <c r="O16" s="26" t="inlineStr">
        <is>
          <t>NEED</t>
        </is>
      </c>
      <c r="P16" s="26" t="n">
        <v>0</v>
      </c>
      <c r="Q16" s="26" t="n"/>
      <c r="R16" s="26" t="inlineStr">
        <is>
          <t>add official reverse/holo counterpart if issued; add official reverse/holo counterpart if issued; add official reverse/holo counterpart if issued; StableKey=AZF-015</t>
        </is>
      </c>
      <c r="S16" s="26" t="inlineStr">
        <is>
          <t>https://bulbapedia.bulbagarden.net/wiki/Azurill_(TCG)</t>
        </is>
      </c>
    </row>
    <row r="17">
      <c r="A17" s="26" t="n">
        <v>16</v>
      </c>
      <c r="B17" s="26" t="inlineStr">
        <is>
          <t>Azurill</t>
        </is>
      </c>
      <c r="C17" s="26" t="inlineStr">
        <is>
          <t>Azurill</t>
        </is>
      </c>
      <c r="D17" s="26" t="inlineStr">
        <is>
          <t>Spanish</t>
        </is>
      </c>
      <c r="E17" s="26" t="inlineStr">
        <is>
          <t>International</t>
        </is>
      </c>
      <c r="F17" s="26" t="inlineStr">
        <is>
          <t>Cosmic Eclipse</t>
        </is>
      </c>
      <c r="G17" s="26" t="inlineStr">
        <is>
          <t>146/236</t>
        </is>
      </c>
      <c r="H17" s="26" t="inlineStr">
        <is>
          <t>Standard</t>
        </is>
      </c>
      <c r="I17" s="26" t="n"/>
      <c r="J17" s="26" t="inlineStr">
        <is>
          <t>Asako Ito</t>
        </is>
      </c>
      <c r="K17" s="26" t="inlineStr">
        <is>
          <t>Out of print</t>
        </is>
      </c>
      <c r="L17" s="26" t="inlineStr">
        <is>
          <t>Buy the Spanish single. Cardmarket/eBay are usually best; filter Language = Spanish and bundle orders.</t>
        </is>
      </c>
      <c r="M17" s="26" t="inlineStr">
        <is>
          <t>Azurill 146/236 Cosmic Eclipse Spanish Standard</t>
        </is>
      </c>
      <c r="N17" s="26" t="inlineStr">
        <is>
          <t>Medium</t>
        </is>
      </c>
      <c r="O17" s="26" t="inlineStr">
        <is>
          <t>NEED</t>
        </is>
      </c>
      <c r="P17" s="26" t="n">
        <v>0</v>
      </c>
      <c r="Q17" s="26" t="n"/>
      <c r="R17" s="26" t="inlineStr">
        <is>
          <t>add official reverse/holo counterpart if issued; add official reverse/holo counterpart if issued; add official reverse/holo counterpart if issued; StableKey=AZF-016</t>
        </is>
      </c>
      <c r="S17" s="26" t="inlineStr">
        <is>
          <t>https://bulbapedia.bulbagarden.net/wiki/Azurill_(TCG)</t>
        </is>
      </c>
    </row>
    <row r="18">
      <c r="A18" s="26" t="n">
        <v>17</v>
      </c>
      <c r="B18" s="26" t="inlineStr">
        <is>
          <t>Azurill</t>
        </is>
      </c>
      <c r="C18" s="26" t="inlineStr">
        <is>
          <t>Azurill</t>
        </is>
      </c>
      <c r="D18" s="26" t="inlineStr">
        <is>
          <t>Spanish</t>
        </is>
      </c>
      <c r="E18" s="26" t="inlineStr">
        <is>
          <t>International</t>
        </is>
      </c>
      <c r="F18" s="26" t="inlineStr">
        <is>
          <t>Cosmic Eclipse</t>
        </is>
      </c>
      <c r="G18" s="26" t="inlineStr">
        <is>
          <t>146/236</t>
        </is>
      </c>
      <c r="H18" s="26" t="inlineStr">
        <is>
          <t>Reverse Holo</t>
        </is>
      </c>
      <c r="I18" s="26" t="inlineStr">
        <is>
          <t>Reverse Holo</t>
        </is>
      </c>
      <c r="J18" s="26" t="inlineStr">
        <is>
          <t>Asako Ito</t>
        </is>
      </c>
      <c r="K18" s="26" t="inlineStr">
        <is>
          <t>Out of print</t>
        </is>
      </c>
      <c r="L18" s="26" t="inlineStr">
        <is>
          <t>Buy the Spanish single. Cardmarket/eBay are usually best; filter Language = Spanish and bundle orders.</t>
        </is>
      </c>
      <c r="M18" s="26" t="inlineStr">
        <is>
          <t>Azurill 146/236 Cosmic Eclipse Spanish Reverse Holo</t>
        </is>
      </c>
      <c r="N18" s="26" t="inlineStr">
        <is>
          <t>Medium</t>
        </is>
      </c>
      <c r="O18" s="26" t="inlineStr">
        <is>
          <t>NEED</t>
        </is>
      </c>
      <c r="P18" s="26" t="n">
        <v>0</v>
      </c>
      <c r="Q18" s="26" t="n"/>
      <c r="R18" s="26" t="inlineStr">
        <is>
          <t>add official reverse/holo counterpart if issued; add official reverse/holo counterpart if issued; add official reverse/holo counterpart if issued; StableKey=AZF-017</t>
        </is>
      </c>
      <c r="S18" s="26" t="inlineStr">
        <is>
          <t>https://bulbapedia.bulbagarden.net/wiki/Azurill_(TCG)</t>
        </is>
      </c>
    </row>
    <row r="19">
      <c r="A19" s="26" t="n">
        <v>18</v>
      </c>
      <c r="B19" s="26" t="inlineStr">
        <is>
          <t>Azurill</t>
        </is>
      </c>
      <c r="C19" s="26" t="inlineStr">
        <is>
          <t>Azurill</t>
        </is>
      </c>
      <c r="D19" s="26" t="inlineStr">
        <is>
          <t>Japanese</t>
        </is>
      </c>
      <c r="E19" s="26" t="inlineStr">
        <is>
          <t>Japan</t>
        </is>
      </c>
      <c r="F19" s="26" t="inlineStr">
        <is>
          <t>Alter Genesis</t>
        </is>
      </c>
      <c r="G19" s="26" t="inlineStr">
        <is>
          <t>057/095</t>
        </is>
      </c>
      <c r="H19" s="26" t="inlineStr">
        <is>
          <t>Standard</t>
        </is>
      </c>
      <c r="I19" s="26" t="n"/>
      <c r="J19" s="26" t="inlineStr">
        <is>
          <t>Asako Ito</t>
        </is>
      </c>
      <c r="K19" s="26" t="inlineStr">
        <is>
          <t>Out of print</t>
        </is>
      </c>
      <c r="L19" s="26" t="inlineStr">
        <is>
          <t>Buy the Japanese single. Use eBay/Cardmarket or Mercari/Yahoo Japan through a proxy; bundle proxy orders.</t>
        </is>
      </c>
      <c r="M19" s="26" t="inlineStr">
        <is>
          <t>Azurill 057/095 Alter Genesis Japanese Standard</t>
        </is>
      </c>
      <c r="N19" s="26" t="inlineStr">
        <is>
          <t>Medium</t>
        </is>
      </c>
      <c r="O19" s="26" t="inlineStr">
        <is>
          <t>NEED</t>
        </is>
      </c>
      <c r="P19" s="26" t="n">
        <v>0</v>
      </c>
      <c r="Q19" s="26" t="n"/>
      <c r="R19" s="26" t="inlineStr">
        <is>
          <t>StableKey=AZF-018</t>
        </is>
      </c>
      <c r="S19" s="26" t="inlineStr">
        <is>
          <t>https://bulbapedia.bulbagarden.net/wiki/Azurill_(TCG)</t>
        </is>
      </c>
    </row>
    <row r="20">
      <c r="A20" s="26" t="n">
        <v>19</v>
      </c>
      <c r="B20" s="26" t="inlineStr">
        <is>
          <t>Azurill</t>
        </is>
      </c>
      <c r="C20" s="26" t="inlineStr">
        <is>
          <t>Azurill</t>
        </is>
      </c>
      <c r="D20" s="26" t="inlineStr">
        <is>
          <t>Japanese</t>
        </is>
      </c>
      <c r="E20" s="26" t="inlineStr">
        <is>
          <t>Japan</t>
        </is>
      </c>
      <c r="F20" s="26" t="inlineStr">
        <is>
          <t>Storm Emeralda</t>
        </is>
      </c>
      <c r="G20" s="26" t="inlineStr">
        <is>
          <t>054/076</t>
        </is>
      </c>
      <c r="H20" s="26" t="inlineStr">
        <is>
          <t>Standard</t>
        </is>
      </c>
      <c r="I20" s="26" t="inlineStr">
        <is>
          <t>Japanese-only named release</t>
        </is>
      </c>
      <c r="J20" s="26" t="inlineStr">
        <is>
          <t>Japan exclusive</t>
        </is>
      </c>
      <c r="K20" s="26" t="inlineStr">
        <is>
          <t>Out of print</t>
        </is>
      </c>
      <c r="L20" s="26" t="inlineStr">
        <is>
          <t>Buy the Japanese single. Use eBay/Cardmarket or Mercari/Yahoo Japan through a proxy; bundle proxy orders.</t>
        </is>
      </c>
      <c r="M20" s="26" t="inlineStr">
        <is>
          <t>Azurill 054/076 Storm Emeralda Japanese Standard</t>
        </is>
      </c>
      <c r="N20" s="26" t="inlineStr">
        <is>
          <t>Medium</t>
        </is>
      </c>
      <c r="O20" s="26" t="inlineStr">
        <is>
          <t>NEED</t>
        </is>
      </c>
      <c r="P20" s="26" t="n">
        <v>0</v>
      </c>
      <c r="Q20" s="26" t="n"/>
      <c r="R20" s="26" t="inlineStr">
        <is>
          <t>StableKey=AZF-019</t>
        </is>
      </c>
      <c r="S20" s="26" t="inlineStr">
        <is>
          <t>https://bulbapedia.bulbagarden.net/wiki/Azurill_(TCG)</t>
        </is>
      </c>
    </row>
    <row r="21">
      <c r="A21" s="26" t="n">
        <v>20</v>
      </c>
      <c r="B21" s="26" t="inlineStr">
        <is>
          <t>Azurill</t>
        </is>
      </c>
      <c r="C21" s="26" t="inlineStr">
        <is>
          <t>Azurill</t>
        </is>
      </c>
      <c r="D21" s="26" t="inlineStr">
        <is>
          <t>Chinese</t>
        </is>
      </c>
      <c r="E21" s="26" t="inlineStr">
        <is>
          <t>China</t>
        </is>
      </c>
      <c r="F21" s="26" t="inlineStr">
        <is>
          <t>Shining Synergy - Summon</t>
        </is>
      </c>
      <c r="G21" s="26" t="inlineStr">
        <is>
          <t>082</t>
        </is>
      </c>
      <c r="H21" s="26" t="inlineStr">
        <is>
          <t>Unique regional numbered release</t>
        </is>
      </c>
      <c r="I21" s="26" t="inlineStr">
        <is>
          <t>Unique regional numbered release</t>
        </is>
      </c>
      <c r="J21" s="26" t="inlineStr">
        <is>
          <t>China exclusive / regional</t>
        </is>
      </c>
      <c r="K21" s="26" t="inlineStr">
        <is>
          <t>Out of print</t>
        </is>
      </c>
      <c r="L21" s="26" t="inlineStr">
        <is>
          <t>Regional exclusive: buy the exact numbered single from eBay, Cardmarket, or a specialist seller; use saved searches.</t>
        </is>
      </c>
      <c r="M21" s="26" t="inlineStr">
        <is>
          <t>Azurill 082 Shining Synergy - Summon Chinese Unique regional numbered release</t>
        </is>
      </c>
      <c r="N21" s="26" t="inlineStr">
        <is>
          <t>Hard</t>
        </is>
      </c>
      <c r="O21" s="26" t="inlineStr">
        <is>
          <t>NEED</t>
        </is>
      </c>
      <c r="P21" s="26" t="n">
        <v>0</v>
      </c>
      <c r="Q21" s="26" t="n"/>
      <c r="R21" s="26" t="inlineStr">
        <is>
          <t>StableKey=AZF-020</t>
        </is>
      </c>
      <c r="S21" s="26" t="inlineStr">
        <is>
          <t>https://www.cardmarket.com/en/Pokemon/Species/Azurill</t>
        </is>
      </c>
    </row>
    <row r="22">
      <c r="A22" s="26" t="n">
        <v>21</v>
      </c>
      <c r="B22" s="26" t="inlineStr">
        <is>
          <t>Marill</t>
        </is>
      </c>
      <c r="C22" s="26" t="inlineStr">
        <is>
          <t>Marill</t>
        </is>
      </c>
      <c r="D22" s="26" t="inlineStr">
        <is>
          <t>English</t>
        </is>
      </c>
      <c r="E22" s="26" t="inlineStr">
        <is>
          <t>International</t>
        </is>
      </c>
      <c r="F22" s="26" t="inlineStr">
        <is>
          <t>Wizards Black Star Promos</t>
        </is>
      </c>
      <c r="G22" s="26" t="inlineStr">
        <is>
          <t>29</t>
        </is>
      </c>
      <c r="H22" s="26" t="inlineStr">
        <is>
          <t>Standard</t>
        </is>
      </c>
      <c r="I22" s="26" t="n"/>
      <c r="J22" s="26" t="inlineStr">
        <is>
          <t>Wizards promo</t>
        </is>
      </c>
      <c r="K22" s="26" t="inlineStr">
        <is>
          <t>Out of print</t>
        </is>
      </c>
      <c r="L22" s="26" t="inlineStr">
        <is>
          <t>Buy the single. Start with TCGplayer/eBay or a local card show; bundle cheap cards from one seller.</t>
        </is>
      </c>
      <c r="M22" s="26" t="inlineStr">
        <is>
          <t>Marill 29 Wizards Black Star Promos English Standard</t>
        </is>
      </c>
      <c r="N22" s="26" t="inlineStr">
        <is>
          <t>Easy</t>
        </is>
      </c>
      <c r="O22" s="26" t="inlineStr">
        <is>
          <t>NEED</t>
        </is>
      </c>
      <c r="P22" s="26" t="n">
        <v>0</v>
      </c>
      <c r="Q22" s="26" t="n"/>
      <c r="R22" s="26" t="inlineStr">
        <is>
          <t>add official reverse/holo counterpart if issued; add official reverse/holo counterpart if issued; add official reverse/holo counterpart if issued; StableKey=AZF-021</t>
        </is>
      </c>
      <c r="S22" s="26" t="inlineStr">
        <is>
          <t>https://bulbapedia.bulbagarden.net/wiki/Marill_(TCG)</t>
        </is>
      </c>
    </row>
    <row r="23">
      <c r="A23" s="26" t="n">
        <v>22</v>
      </c>
      <c r="B23" s="26" t="inlineStr">
        <is>
          <t>Marill</t>
        </is>
      </c>
      <c r="C23" s="26" t="inlineStr">
        <is>
          <t>Marill</t>
        </is>
      </c>
      <c r="D23" s="26" t="inlineStr">
        <is>
          <t>Japanese</t>
        </is>
      </c>
      <c r="E23" s="26" t="inlineStr">
        <is>
          <t>Japan</t>
        </is>
      </c>
      <c r="F23" s="26" t="inlineStr">
        <is>
          <t>Unnumbered Promotional cards</t>
        </is>
      </c>
      <c r="G23" s="26" t="n"/>
      <c r="H23" s="26" t="inlineStr">
        <is>
          <t>Standard</t>
        </is>
      </c>
      <c r="I23" s="26" t="n"/>
      <c r="J23" s="26" t="inlineStr">
        <is>
          <t>Wizards promo</t>
        </is>
      </c>
      <c r="K23" s="26" t="inlineStr">
        <is>
          <t>Out of print</t>
        </is>
      </c>
      <c r="L23" s="26" t="inlineStr">
        <is>
          <t>Buy the Japanese single. Use eBay/Cardmarket or Mercari/Yahoo Japan through a proxy; bundle proxy orders.</t>
        </is>
      </c>
      <c r="M23" s="26" t="inlineStr">
        <is>
          <t>Marill Unnumbered Promotional cards Japanese Standard</t>
        </is>
      </c>
      <c r="N23" s="26" t="inlineStr">
        <is>
          <t>Medium</t>
        </is>
      </c>
      <c r="O23" s="26" t="inlineStr">
        <is>
          <t>NEED</t>
        </is>
      </c>
      <c r="P23" s="26" t="n">
        <v>0</v>
      </c>
      <c r="Q23" s="26" t="n"/>
      <c r="R23" s="26" t="inlineStr">
        <is>
          <t>StableKey=AZF-022</t>
        </is>
      </c>
      <c r="S23" s="26" t="inlineStr">
        <is>
          <t>https://bulbapedia.bulbagarden.net/wiki/Marill_(TCG)</t>
        </is>
      </c>
    </row>
    <row r="24">
      <c r="A24" s="26" t="n">
        <v>23</v>
      </c>
      <c r="B24" s="26" t="inlineStr">
        <is>
          <t>Marill</t>
        </is>
      </c>
      <c r="C24" s="26" t="inlineStr">
        <is>
          <t>Marill</t>
        </is>
      </c>
      <c r="D24" s="26" t="inlineStr">
        <is>
          <t>English</t>
        </is>
      </c>
      <c r="E24" s="26" t="inlineStr">
        <is>
          <t>International</t>
        </is>
      </c>
      <c r="F24" s="26" t="inlineStr">
        <is>
          <t>Neo Genesis</t>
        </is>
      </c>
      <c r="G24" s="26" t="inlineStr">
        <is>
          <t>66/111</t>
        </is>
      </c>
      <c r="H24" s="26" t="inlineStr">
        <is>
          <t>1st Edition</t>
        </is>
      </c>
      <c r="I24" s="26" t="inlineStr">
        <is>
          <t>1st Edition</t>
        </is>
      </c>
      <c r="J24" s="26" t="inlineStr">
        <is>
          <t>Vintage</t>
        </is>
      </c>
      <c r="K24" s="26" t="inlineStr">
        <is>
          <t>Out of print</t>
        </is>
      </c>
      <c r="L24" s="26" t="inlineStr">
        <is>
          <t>Buy the single. Start with TCGplayer/eBay or a local card show; bundle cheap cards from one seller.</t>
        </is>
      </c>
      <c r="M24" s="26" t="inlineStr">
        <is>
          <t>Marill 66/111 Neo Genesis English 1st Edition</t>
        </is>
      </c>
      <c r="N24" s="26" t="inlineStr">
        <is>
          <t>Easy</t>
        </is>
      </c>
      <c r="O24" s="26" t="inlineStr">
        <is>
          <t>NEED</t>
        </is>
      </c>
      <c r="P24" s="26" t="n">
        <v>0</v>
      </c>
      <c r="Q24" s="26" t="n"/>
      <c r="R24" s="26" t="inlineStr">
        <is>
          <t>add official reverse/holo counterpart if issued; add official reverse/holo counterpart if issued; add official reverse/holo counterpart if issued; StableKey=AZF-023</t>
        </is>
      </c>
      <c r="S24" s="26" t="inlineStr">
        <is>
          <t>https://bulbapedia.bulbagarden.net/wiki/Marill_(TCG)</t>
        </is>
      </c>
    </row>
    <row r="25">
      <c r="A25" s="26" t="n">
        <v>24</v>
      </c>
      <c r="B25" s="26" t="inlineStr">
        <is>
          <t>Marill</t>
        </is>
      </c>
      <c r="C25" s="26" t="inlineStr">
        <is>
          <t>Marill</t>
        </is>
      </c>
      <c r="D25" s="26" t="inlineStr">
        <is>
          <t>English</t>
        </is>
      </c>
      <c r="E25" s="26" t="inlineStr">
        <is>
          <t>International</t>
        </is>
      </c>
      <c r="F25" s="26" t="inlineStr">
        <is>
          <t>Neo Genesis</t>
        </is>
      </c>
      <c r="G25" s="26" t="inlineStr">
        <is>
          <t>66/111</t>
        </is>
      </c>
      <c r="H25" s="26" t="inlineStr">
        <is>
          <t>Unlimited</t>
        </is>
      </c>
      <c r="I25" s="26" t="inlineStr">
        <is>
          <t>Unlimited</t>
        </is>
      </c>
      <c r="J25" s="26" t="inlineStr">
        <is>
          <t>Vintage</t>
        </is>
      </c>
      <c r="K25" s="26" t="inlineStr">
        <is>
          <t>Out of print</t>
        </is>
      </c>
      <c r="L25" s="26" t="inlineStr">
        <is>
          <t>Buy the single. Start with TCGplayer/eBay or a local card show; bundle cheap cards from one seller.</t>
        </is>
      </c>
      <c r="M25" s="26" t="inlineStr">
        <is>
          <t>Marill 66/111 Neo Genesis English Unlimited</t>
        </is>
      </c>
      <c r="N25" s="26" t="inlineStr">
        <is>
          <t>Easy</t>
        </is>
      </c>
      <c r="O25" s="26" t="inlineStr">
        <is>
          <t>NEED</t>
        </is>
      </c>
      <c r="P25" s="26" t="n">
        <v>0</v>
      </c>
      <c r="Q25" s="26" t="n"/>
      <c r="R25" s="26" t="inlineStr">
        <is>
          <t>add official reverse/holo counterpart if issued; add official reverse/holo counterpart if issued; add official reverse/holo counterpart if issued; StableKey=AZF-024</t>
        </is>
      </c>
      <c r="S25" s="26" t="inlineStr">
        <is>
          <t>https://bulbapedia.bulbagarden.net/wiki/Marill_(TCG)</t>
        </is>
      </c>
    </row>
    <row r="26">
      <c r="A26" s="26" t="n">
        <v>25</v>
      </c>
      <c r="B26" s="26" t="inlineStr">
        <is>
          <t>Marill</t>
        </is>
      </c>
      <c r="C26" s="26" t="inlineStr">
        <is>
          <t>Marill</t>
        </is>
      </c>
      <c r="D26" s="26" t="inlineStr">
        <is>
          <t>Spanish</t>
        </is>
      </c>
      <c r="E26" s="26" t="inlineStr">
        <is>
          <t>International</t>
        </is>
      </c>
      <c r="F26" s="26" t="inlineStr">
        <is>
          <t>Neo Genesis</t>
        </is>
      </c>
      <c r="G26" s="26" t="inlineStr">
        <is>
          <t>66/111</t>
        </is>
      </c>
      <c r="H26" s="26" t="inlineStr">
        <is>
          <t>1st Edition</t>
        </is>
      </c>
      <c r="I26" s="26" t="inlineStr">
        <is>
          <t>1st Edition</t>
        </is>
      </c>
      <c r="J26" s="26" t="inlineStr">
        <is>
          <t>Vintage</t>
        </is>
      </c>
      <c r="K26" s="26" t="inlineStr">
        <is>
          <t>Out of print</t>
        </is>
      </c>
      <c r="L26" s="26" t="inlineStr">
        <is>
          <t>Buy the Spanish single. Cardmarket/eBay are usually best; filter Language = Spanish and bundle orders.</t>
        </is>
      </c>
      <c r="M26" s="26" t="inlineStr">
        <is>
          <t>Marill 66/111 Neo Genesis Spanish 1st Edition</t>
        </is>
      </c>
      <c r="N26" s="26" t="inlineStr">
        <is>
          <t>Medium</t>
        </is>
      </c>
      <c r="O26" s="26" t="inlineStr">
        <is>
          <t>NEED</t>
        </is>
      </c>
      <c r="P26" s="26" t="n">
        <v>0</v>
      </c>
      <c r="Q26" s="26" t="n"/>
      <c r="R26" s="26" t="inlineStr">
        <is>
          <t>add official reverse/holo counterpart if issued; add official reverse/holo counterpart if issued; add official reverse/holo counterpart if issued; StableKey=AZF-025</t>
        </is>
      </c>
      <c r="S26" s="26" t="inlineStr">
        <is>
          <t>https://bulbapedia.bulbagarden.net/wiki/Marill_(TCG)</t>
        </is>
      </c>
    </row>
    <row r="27">
      <c r="A27" s="26" t="n">
        <v>26</v>
      </c>
      <c r="B27" s="26" t="inlineStr">
        <is>
          <t>Marill</t>
        </is>
      </c>
      <c r="C27" s="26" t="inlineStr">
        <is>
          <t>Marill</t>
        </is>
      </c>
      <c r="D27" s="26" t="inlineStr">
        <is>
          <t>Spanish</t>
        </is>
      </c>
      <c r="E27" s="26" t="inlineStr">
        <is>
          <t>International</t>
        </is>
      </c>
      <c r="F27" s="26" t="inlineStr">
        <is>
          <t>Neo Genesis</t>
        </is>
      </c>
      <c r="G27" s="26" t="inlineStr">
        <is>
          <t>66/111</t>
        </is>
      </c>
      <c r="H27" s="26" t="inlineStr">
        <is>
          <t>Unlimited</t>
        </is>
      </c>
      <c r="I27" s="26" t="inlineStr">
        <is>
          <t>Unlimited</t>
        </is>
      </c>
      <c r="J27" s="26" t="inlineStr">
        <is>
          <t>Vintage</t>
        </is>
      </c>
      <c r="K27" s="26" t="inlineStr">
        <is>
          <t>Out of print</t>
        </is>
      </c>
      <c r="L27" s="26" t="inlineStr">
        <is>
          <t>Buy the Spanish single. Cardmarket/eBay are usually best; filter Language = Spanish and bundle orders.</t>
        </is>
      </c>
      <c r="M27" s="26" t="inlineStr">
        <is>
          <t>Marill 66/111 Neo Genesis Spanish Unlimited</t>
        </is>
      </c>
      <c r="N27" s="26" t="inlineStr">
        <is>
          <t>Medium</t>
        </is>
      </c>
      <c r="O27" s="26" t="inlineStr">
        <is>
          <t>NEED</t>
        </is>
      </c>
      <c r="P27" s="26" t="n">
        <v>0</v>
      </c>
      <c r="Q27" s="26" t="n"/>
      <c r="R27" s="26" t="inlineStr">
        <is>
          <t>add official reverse/holo counterpart if issued; add official reverse/holo counterpart if issued; add official reverse/holo counterpart if issued; StableKey=AZF-026</t>
        </is>
      </c>
      <c r="S27" s="26" t="inlineStr">
        <is>
          <t>https://bulbapedia.bulbagarden.net/wiki/Marill_(TCG)</t>
        </is>
      </c>
    </row>
    <row r="28">
      <c r="A28" s="26" t="n">
        <v>27</v>
      </c>
      <c r="B28" s="26" t="inlineStr">
        <is>
          <t>Marill</t>
        </is>
      </c>
      <c r="C28" s="26" t="inlineStr">
        <is>
          <t>Marill</t>
        </is>
      </c>
      <c r="D28" s="26" t="inlineStr">
        <is>
          <t>Japanese</t>
        </is>
      </c>
      <c r="E28" s="26" t="inlineStr">
        <is>
          <t>Japan</t>
        </is>
      </c>
      <c r="F28" s="26" t="inlineStr">
        <is>
          <t>Gold, Silver, to a New World...</t>
        </is>
      </c>
      <c r="G28" s="26" t="n"/>
      <c r="H28" s="26" t="inlineStr">
        <is>
          <t>Standard</t>
        </is>
      </c>
      <c r="I28" s="26" t="n"/>
      <c r="J28" s="26" t="inlineStr">
        <is>
          <t>Vintage</t>
        </is>
      </c>
      <c r="K28" s="26" t="inlineStr">
        <is>
          <t>Out of print</t>
        </is>
      </c>
      <c r="L28" s="26" t="inlineStr">
        <is>
          <t>Buy the Japanese single. Use eBay/Cardmarket or Mercari/Yahoo Japan through a proxy; bundle proxy orders.</t>
        </is>
      </c>
      <c r="M28" s="26" t="inlineStr">
        <is>
          <t>Marill Gold, Silver, to a New World... Japanese Standard</t>
        </is>
      </c>
      <c r="N28" s="26" t="inlineStr">
        <is>
          <t>Medium</t>
        </is>
      </c>
      <c r="O28" s="26" t="inlineStr">
        <is>
          <t>NEED</t>
        </is>
      </c>
      <c r="P28" s="26" t="n">
        <v>0</v>
      </c>
      <c r="Q28" s="26" t="n"/>
      <c r="R28" s="26" t="inlineStr">
        <is>
          <t>StableKey=AZF-027</t>
        </is>
      </c>
      <c r="S28" s="26" t="inlineStr">
        <is>
          <t>https://bulbapedia.bulbagarden.net/wiki/Marill_(TCG)</t>
        </is>
      </c>
    </row>
    <row r="29">
      <c r="A29" s="26" t="n">
        <v>28</v>
      </c>
      <c r="B29" s="26" t="inlineStr">
        <is>
          <t>Marill</t>
        </is>
      </c>
      <c r="C29" s="26" t="inlineStr">
        <is>
          <t>Marill</t>
        </is>
      </c>
      <c r="D29" s="26" t="inlineStr">
        <is>
          <t>English</t>
        </is>
      </c>
      <c r="E29" s="26" t="inlineStr">
        <is>
          <t>International</t>
        </is>
      </c>
      <c r="F29" s="26" t="inlineStr">
        <is>
          <t>Southern Islands</t>
        </is>
      </c>
      <c r="G29" s="26" t="inlineStr">
        <is>
          <t>11/18</t>
        </is>
      </c>
      <c r="H29" s="26" t="inlineStr">
        <is>
          <t>Standard</t>
        </is>
      </c>
      <c r="I29" s="26" t="n"/>
      <c r="J29" s="26" t="inlineStr">
        <is>
          <t>Southern Islands</t>
        </is>
      </c>
      <c r="K29" s="26" t="inlineStr">
        <is>
          <t>Out of print</t>
        </is>
      </c>
      <c r="L29" s="26" t="inlineStr">
        <is>
          <t>Buy the single. Start with TCGplayer/eBay or a local card show; bundle cheap cards from one seller.</t>
        </is>
      </c>
      <c r="M29" s="26" t="inlineStr">
        <is>
          <t>Marill 11/18 Southern Islands English Standard</t>
        </is>
      </c>
      <c r="N29" s="26" t="inlineStr">
        <is>
          <t>Easy</t>
        </is>
      </c>
      <c r="O29" s="26" t="inlineStr">
        <is>
          <t>NEED</t>
        </is>
      </c>
      <c r="P29" s="26" t="n">
        <v>0</v>
      </c>
      <c r="Q29" s="26" t="n"/>
      <c r="R29" s="26" t="inlineStr">
        <is>
          <t>add official reverse/holo counterpart if issued; add official reverse/holo counterpart if issued; add official reverse/holo counterpart if issued; StableKey=AZF-028</t>
        </is>
      </c>
      <c r="S29" s="26" t="inlineStr">
        <is>
          <t>https://bulbapedia.bulbagarden.net/wiki/Marill_(TCG)</t>
        </is>
      </c>
    </row>
    <row r="30">
      <c r="A30" s="26" t="n">
        <v>29</v>
      </c>
      <c r="B30" s="26" t="inlineStr">
        <is>
          <t>Marill</t>
        </is>
      </c>
      <c r="C30" s="26" t="inlineStr">
        <is>
          <t>Marill</t>
        </is>
      </c>
      <c r="D30" s="26" t="inlineStr">
        <is>
          <t>Japanese</t>
        </is>
      </c>
      <c r="E30" s="26" t="inlineStr">
        <is>
          <t>Japan</t>
        </is>
      </c>
      <c r="F30" s="26" t="inlineStr">
        <is>
          <t>Southern Islands</t>
        </is>
      </c>
      <c r="G30" s="26" t="n"/>
      <c r="H30" s="26" t="inlineStr">
        <is>
          <t>Standard</t>
        </is>
      </c>
      <c r="I30" s="26" t="n"/>
      <c r="J30" s="26" t="inlineStr">
        <is>
          <t>Southern Islands</t>
        </is>
      </c>
      <c r="K30" s="26" t="inlineStr">
        <is>
          <t>Out of print</t>
        </is>
      </c>
      <c r="L30" s="26" t="inlineStr">
        <is>
          <t>Buy the Japanese single. Use eBay/Cardmarket or Mercari/Yahoo Japan through a proxy; bundle proxy orders.</t>
        </is>
      </c>
      <c r="M30" s="26" t="inlineStr">
        <is>
          <t>Marill Southern Islands Japanese Standard</t>
        </is>
      </c>
      <c r="N30" s="26" t="inlineStr">
        <is>
          <t>Medium</t>
        </is>
      </c>
      <c r="O30" s="26" t="inlineStr">
        <is>
          <t>NEED</t>
        </is>
      </c>
      <c r="P30" s="26" t="n">
        <v>0</v>
      </c>
      <c r="Q30" s="26" t="n"/>
      <c r="R30" s="26" t="inlineStr">
        <is>
          <t>StableKey=AZF-029</t>
        </is>
      </c>
      <c r="S30" s="26" t="inlineStr">
        <is>
          <t>https://bulbapedia.bulbagarden.net/wiki/Marill_(TCG)</t>
        </is>
      </c>
    </row>
    <row r="31">
      <c r="A31" s="26" t="n">
        <v>30</v>
      </c>
      <c r="B31" s="26" t="inlineStr">
        <is>
          <t>Marill</t>
        </is>
      </c>
      <c r="C31" s="26" t="inlineStr">
        <is>
          <t>Marill</t>
        </is>
      </c>
      <c r="D31" s="26" t="inlineStr">
        <is>
          <t>English</t>
        </is>
      </c>
      <c r="E31" s="26" t="inlineStr">
        <is>
          <t>International</t>
        </is>
      </c>
      <c r="F31" s="26" t="inlineStr">
        <is>
          <t>Expedition Base Set</t>
        </is>
      </c>
      <c r="G31" s="26" t="inlineStr">
        <is>
          <t>120/165</t>
        </is>
      </c>
      <c r="H31" s="26" t="inlineStr">
        <is>
          <t>Standard</t>
        </is>
      </c>
      <c r="I31" s="26" t="n"/>
      <c r="J31" s="26" t="inlineStr">
        <is>
          <t>e-Reader</t>
        </is>
      </c>
      <c r="K31" s="26" t="inlineStr">
        <is>
          <t>Out of print</t>
        </is>
      </c>
      <c r="L31" s="26" t="inlineStr">
        <is>
          <t>Buy the single. Start with TCGplayer/eBay or a local card show; bundle cheap cards from one seller.</t>
        </is>
      </c>
      <c r="M31" s="26" t="inlineStr">
        <is>
          <t>Marill 120/165 Expedition Base Set English Standard</t>
        </is>
      </c>
      <c r="N31" s="26" t="inlineStr">
        <is>
          <t>Easy</t>
        </is>
      </c>
      <c r="O31" s="26" t="inlineStr">
        <is>
          <t>NEED</t>
        </is>
      </c>
      <c r="P31" s="26" t="n">
        <v>0</v>
      </c>
      <c r="Q31" s="26" t="n"/>
      <c r="R31" s="26" t="inlineStr">
        <is>
          <t>add official reverse/holo counterpart if issued; add official reverse/holo counterpart if issued; add official reverse/holo counterpart if issued; StableKey=AZF-030</t>
        </is>
      </c>
      <c r="S31" s="26" t="inlineStr">
        <is>
          <t>https://bulbapedia.bulbagarden.net/wiki/Marill_(TCG)</t>
        </is>
      </c>
    </row>
    <row r="32">
      <c r="A32" s="26" t="n">
        <v>31</v>
      </c>
      <c r="B32" s="26" t="inlineStr">
        <is>
          <t>Marill</t>
        </is>
      </c>
      <c r="C32" s="26" t="inlineStr">
        <is>
          <t>Marill</t>
        </is>
      </c>
      <c r="D32" s="26" t="inlineStr">
        <is>
          <t>English</t>
        </is>
      </c>
      <c r="E32" s="26" t="inlineStr">
        <is>
          <t>International</t>
        </is>
      </c>
      <c r="F32" s="26" t="inlineStr">
        <is>
          <t>Expedition Base Set</t>
        </is>
      </c>
      <c r="G32" s="26" t="inlineStr">
        <is>
          <t>120/165</t>
        </is>
      </c>
      <c r="H32" s="26" t="inlineStr">
        <is>
          <t>Reverse Holo</t>
        </is>
      </c>
      <c r="I32" s="26" t="inlineStr">
        <is>
          <t>Reverse Holo</t>
        </is>
      </c>
      <c r="J32" s="26" t="inlineStr">
        <is>
          <t>e-Reader</t>
        </is>
      </c>
      <c r="K32" s="26" t="inlineStr">
        <is>
          <t>Out of print</t>
        </is>
      </c>
      <c r="L32" s="26" t="inlineStr">
        <is>
          <t>Buy the single. Start with TCGplayer/eBay or a local card show; bundle cheap cards from one seller.</t>
        </is>
      </c>
      <c r="M32" s="26" t="inlineStr">
        <is>
          <t>Marill 120/165 Expedition Base Set English Reverse Holo</t>
        </is>
      </c>
      <c r="N32" s="26" t="inlineStr">
        <is>
          <t>Easy</t>
        </is>
      </c>
      <c r="O32" s="26" t="inlineStr">
        <is>
          <t>NEED</t>
        </is>
      </c>
      <c r="P32" s="26" t="n">
        <v>0</v>
      </c>
      <c r="Q32" s="26" t="n"/>
      <c r="R32" s="26" t="inlineStr">
        <is>
          <t>add official reverse/holo counterpart if issued; add official reverse/holo counterpart if issued; add official reverse/holo counterpart if issued; StableKey=AZF-031</t>
        </is>
      </c>
      <c r="S32" s="26" t="inlineStr">
        <is>
          <t>https://bulbapedia.bulbagarden.net/wiki/Marill_(TCG)</t>
        </is>
      </c>
    </row>
    <row r="33">
      <c r="A33" s="26" t="n">
        <v>32</v>
      </c>
      <c r="B33" s="26" t="inlineStr">
        <is>
          <t>Marill</t>
        </is>
      </c>
      <c r="C33" s="26" t="inlineStr">
        <is>
          <t>Marill</t>
        </is>
      </c>
      <c r="D33" s="26" t="inlineStr">
        <is>
          <t>Japanese</t>
        </is>
      </c>
      <c r="E33" s="26" t="inlineStr">
        <is>
          <t>Japan</t>
        </is>
      </c>
      <c r="F33" s="26" t="inlineStr">
        <is>
          <t>Base Expansion Pack</t>
        </is>
      </c>
      <c r="G33" s="26" t="inlineStr">
        <is>
          <t>013/128</t>
        </is>
      </c>
      <c r="H33" s="26" t="inlineStr">
        <is>
          <t>Standard</t>
        </is>
      </c>
      <c r="I33" s="26" t="n"/>
      <c r="J33" s="26" t="inlineStr">
        <is>
          <t>e-Reader</t>
        </is>
      </c>
      <c r="K33" s="26" t="inlineStr">
        <is>
          <t>Out of print</t>
        </is>
      </c>
      <c r="L33" s="26" t="inlineStr">
        <is>
          <t>Buy the Japanese single. Use eBay/Cardmarket or Mercari/Yahoo Japan through a proxy; bundle proxy orders.</t>
        </is>
      </c>
      <c r="M33" s="26" t="inlineStr">
        <is>
          <t>Marill 013/128 Base Expansion Pack Japanese Standard</t>
        </is>
      </c>
      <c r="N33" s="26" t="inlineStr">
        <is>
          <t>Medium</t>
        </is>
      </c>
      <c r="O33" s="26" t="inlineStr">
        <is>
          <t>NEED</t>
        </is>
      </c>
      <c r="P33" s="26" t="n">
        <v>0</v>
      </c>
      <c r="Q33" s="26" t="n"/>
      <c r="R33" s="26" t="inlineStr">
        <is>
          <t>StableKey=AZF-032</t>
        </is>
      </c>
      <c r="S33" s="26" t="inlineStr">
        <is>
          <t>https://bulbapedia.bulbagarden.net/wiki/Marill_(TCG)</t>
        </is>
      </c>
    </row>
    <row r="34">
      <c r="A34" s="26" t="n">
        <v>33</v>
      </c>
      <c r="B34" s="26" t="inlineStr">
        <is>
          <t>Marill</t>
        </is>
      </c>
      <c r="C34" s="26" t="inlineStr">
        <is>
          <t>Marill</t>
        </is>
      </c>
      <c r="D34" s="26" t="inlineStr">
        <is>
          <t>English</t>
        </is>
      </c>
      <c r="E34" s="26" t="inlineStr">
        <is>
          <t>International</t>
        </is>
      </c>
      <c r="F34" s="26" t="inlineStr">
        <is>
          <t>Aquapolis</t>
        </is>
      </c>
      <c r="G34" s="26" t="inlineStr">
        <is>
          <t>53/147</t>
        </is>
      </c>
      <c r="H34" s="26" t="inlineStr">
        <is>
          <t>Standard</t>
        </is>
      </c>
      <c r="I34" s="26" t="n"/>
      <c r="J34" s="26" t="inlineStr">
        <is>
          <t>e-Reader</t>
        </is>
      </c>
      <c r="K34" s="26" t="inlineStr">
        <is>
          <t>Out of print</t>
        </is>
      </c>
      <c r="L34" s="26" t="inlineStr">
        <is>
          <t>Buy the single. Start with TCGplayer/eBay or a local card show; bundle cheap cards from one seller.</t>
        </is>
      </c>
      <c r="M34" s="26" t="inlineStr">
        <is>
          <t>Marill 53/147 Aquapolis English Standard</t>
        </is>
      </c>
      <c r="N34" s="26" t="inlineStr">
        <is>
          <t>Easy</t>
        </is>
      </c>
      <c r="O34" s="26" t="inlineStr">
        <is>
          <t>NEED</t>
        </is>
      </c>
      <c r="P34" s="26" t="n">
        <v>0</v>
      </c>
      <c r="Q34" s="26" t="n"/>
      <c r="R34" s="26" t="inlineStr">
        <is>
          <t>add official reverse/holo counterpart if issued; add official reverse/holo counterpart if issued; add official reverse/holo counterpart if issued; StableKey=AZF-033</t>
        </is>
      </c>
      <c r="S34" s="26" t="inlineStr">
        <is>
          <t>https://bulbapedia.bulbagarden.net/wiki/Marill_(TCG)</t>
        </is>
      </c>
    </row>
    <row r="35">
      <c r="A35" s="26" t="n">
        <v>34</v>
      </c>
      <c r="B35" s="26" t="inlineStr">
        <is>
          <t>Marill</t>
        </is>
      </c>
      <c r="C35" s="26" t="inlineStr">
        <is>
          <t>Marill</t>
        </is>
      </c>
      <c r="D35" s="26" t="inlineStr">
        <is>
          <t>English</t>
        </is>
      </c>
      <c r="E35" s="26" t="inlineStr">
        <is>
          <t>International</t>
        </is>
      </c>
      <c r="F35" s="26" t="inlineStr">
        <is>
          <t>Aquapolis</t>
        </is>
      </c>
      <c r="G35" s="26" t="inlineStr">
        <is>
          <t>53/147</t>
        </is>
      </c>
      <c r="H35" s="26" t="inlineStr">
        <is>
          <t>Reverse Holo</t>
        </is>
      </c>
      <c r="I35" s="26" t="inlineStr">
        <is>
          <t>Reverse Holo</t>
        </is>
      </c>
      <c r="J35" s="26" t="inlineStr">
        <is>
          <t>e-Reader</t>
        </is>
      </c>
      <c r="K35" s="26" t="inlineStr">
        <is>
          <t>Out of print</t>
        </is>
      </c>
      <c r="L35" s="26" t="inlineStr">
        <is>
          <t>Buy the single. Start with TCGplayer/eBay or a local card show; bundle cheap cards from one seller.</t>
        </is>
      </c>
      <c r="M35" s="26" t="inlineStr">
        <is>
          <t>Marill 53/147 Aquapolis English Reverse Holo</t>
        </is>
      </c>
      <c r="N35" s="26" t="inlineStr">
        <is>
          <t>Easy</t>
        </is>
      </c>
      <c r="O35" s="26" t="inlineStr">
        <is>
          <t>NEED</t>
        </is>
      </c>
      <c r="P35" s="26" t="n">
        <v>0</v>
      </c>
      <c r="Q35" s="26" t="n"/>
      <c r="R35" s="26" t="inlineStr">
        <is>
          <t>add official reverse/holo counterpart if issued; add official reverse/holo counterpart if issued; add official reverse/holo counterpart if issued; StableKey=AZF-034</t>
        </is>
      </c>
      <c r="S35" s="26" t="inlineStr">
        <is>
          <t>https://bulbapedia.bulbagarden.net/wiki/Marill_(TCG)</t>
        </is>
      </c>
    </row>
    <row r="36">
      <c r="A36" s="26" t="n">
        <v>35</v>
      </c>
      <c r="B36" s="26" t="inlineStr">
        <is>
          <t>Marill</t>
        </is>
      </c>
      <c r="C36" s="26" t="inlineStr">
        <is>
          <t>Marill</t>
        </is>
      </c>
      <c r="D36" s="26" t="inlineStr">
        <is>
          <t>Japanese</t>
        </is>
      </c>
      <c r="E36" s="26" t="inlineStr">
        <is>
          <t>Japan</t>
        </is>
      </c>
      <c r="F36" s="26" t="inlineStr">
        <is>
          <t>The Town on No Map</t>
        </is>
      </c>
      <c r="G36" s="26" t="inlineStr">
        <is>
          <t>024/092</t>
        </is>
      </c>
      <c r="H36" s="26" t="inlineStr">
        <is>
          <t>1st Edition</t>
        </is>
      </c>
      <c r="I36" s="26" t="inlineStr">
        <is>
          <t>1st Edition</t>
        </is>
      </c>
      <c r="J36" s="26" t="inlineStr">
        <is>
          <t>e-Reader</t>
        </is>
      </c>
      <c r="K36" s="26" t="inlineStr">
        <is>
          <t>Out of print</t>
        </is>
      </c>
      <c r="L36" s="26" t="inlineStr">
        <is>
          <t>Buy the Japanese single. Use eBay/Cardmarket or Mercari/Yahoo Japan through a proxy; bundle proxy orders.</t>
        </is>
      </c>
      <c r="M36" s="26" t="inlineStr">
        <is>
          <t>Marill 024/092 The Town on No Map Japanese 1st Edition</t>
        </is>
      </c>
      <c r="N36" s="26" t="inlineStr">
        <is>
          <t>Medium</t>
        </is>
      </c>
      <c r="O36" s="26" t="inlineStr">
        <is>
          <t>NEED</t>
        </is>
      </c>
      <c r="P36" s="26" t="n">
        <v>0</v>
      </c>
      <c r="Q36" s="26" t="n"/>
      <c r="R36" s="26" t="inlineStr">
        <is>
          <t>StableKey=AZF-035</t>
        </is>
      </c>
      <c r="S36" s="26" t="inlineStr">
        <is>
          <t>https://bulbapedia.bulbagarden.net/wiki/Marill_(TCG)</t>
        </is>
      </c>
    </row>
    <row r="37">
      <c r="A37" s="26" t="n">
        <v>36</v>
      </c>
      <c r="B37" s="26" t="inlineStr">
        <is>
          <t>Marill</t>
        </is>
      </c>
      <c r="C37" s="26" t="inlineStr">
        <is>
          <t>Marill</t>
        </is>
      </c>
      <c r="D37" s="26" t="inlineStr">
        <is>
          <t>Japanese</t>
        </is>
      </c>
      <c r="E37" s="26" t="inlineStr">
        <is>
          <t>Japan</t>
        </is>
      </c>
      <c r="F37" s="26" t="inlineStr">
        <is>
          <t>The Town on No Map</t>
        </is>
      </c>
      <c r="G37" s="26" t="inlineStr">
        <is>
          <t>024/092</t>
        </is>
      </c>
      <c r="H37" s="26" t="inlineStr">
        <is>
          <t>Unlimited</t>
        </is>
      </c>
      <c r="I37" s="26" t="inlineStr">
        <is>
          <t>Unlimited</t>
        </is>
      </c>
      <c r="J37" s="26" t="inlineStr">
        <is>
          <t>e-Reader</t>
        </is>
      </c>
      <c r="K37" s="26" t="inlineStr">
        <is>
          <t>Out of print</t>
        </is>
      </c>
      <c r="L37" s="26" t="inlineStr">
        <is>
          <t>Buy the Japanese single. Use eBay/Cardmarket or Mercari/Yahoo Japan through a proxy; bundle proxy orders.</t>
        </is>
      </c>
      <c r="M37" s="26" t="inlineStr">
        <is>
          <t>Marill 024/092 The Town on No Map Japanese Unlimited</t>
        </is>
      </c>
      <c r="N37" s="26" t="inlineStr">
        <is>
          <t>Medium</t>
        </is>
      </c>
      <c r="O37" s="26" t="inlineStr">
        <is>
          <t>NEED</t>
        </is>
      </c>
      <c r="P37" s="26" t="n">
        <v>0</v>
      </c>
      <c r="Q37" s="26" t="n"/>
      <c r="R37" s="26" t="inlineStr">
        <is>
          <t>StableKey=AZF-036</t>
        </is>
      </c>
      <c r="S37" s="26" t="inlineStr">
        <is>
          <t>https://bulbapedia.bulbagarden.net/wiki/Marill_(TCG)</t>
        </is>
      </c>
    </row>
    <row r="38">
      <c r="A38" s="26" t="n">
        <v>37</v>
      </c>
      <c r="B38" s="26" t="inlineStr">
        <is>
          <t>Marill</t>
        </is>
      </c>
      <c r="C38" s="26" t="inlineStr">
        <is>
          <t>Marill</t>
        </is>
      </c>
      <c r="D38" s="26" t="inlineStr">
        <is>
          <t>English</t>
        </is>
      </c>
      <c r="E38" s="26" t="inlineStr">
        <is>
          <t>International</t>
        </is>
      </c>
      <c r="F38" s="26" t="inlineStr">
        <is>
          <t>EX Sandstorm</t>
        </is>
      </c>
      <c r="G38" s="26" t="inlineStr">
        <is>
          <t>68/100</t>
        </is>
      </c>
      <c r="H38" s="26" t="inlineStr">
        <is>
          <t>Standard</t>
        </is>
      </c>
      <c r="I38" s="26" t="n"/>
      <c r="J38" s="26" t="n"/>
      <c r="K38" s="26" t="inlineStr">
        <is>
          <t>Out of print</t>
        </is>
      </c>
      <c r="L38" s="26" t="inlineStr">
        <is>
          <t>Buy the single. Start with TCGplayer/eBay or a local card show; bundle cheap cards from one seller.</t>
        </is>
      </c>
      <c r="M38" s="26" t="inlineStr">
        <is>
          <t>Marill 68/100 EX Sandstorm English Standard</t>
        </is>
      </c>
      <c r="N38" s="26" t="inlineStr">
        <is>
          <t>Easy</t>
        </is>
      </c>
      <c r="O38" s="26" t="inlineStr">
        <is>
          <t>NEED</t>
        </is>
      </c>
      <c r="P38" s="26" t="n">
        <v>0</v>
      </c>
      <c r="Q38" s="26" t="n"/>
      <c r="R38" s="26" t="inlineStr">
        <is>
          <t>add official reverse/holo counterpart if issued; add official reverse/holo counterpart if issued; add official reverse/holo counterpart if issued; StableKey=AZF-037</t>
        </is>
      </c>
      <c r="S38" s="26" t="inlineStr">
        <is>
          <t>https://bulbapedia.bulbagarden.net/wiki/Marill_(TCG)</t>
        </is>
      </c>
    </row>
    <row r="39">
      <c r="A39" s="26" t="n">
        <v>38</v>
      </c>
      <c r="B39" s="26" t="inlineStr">
        <is>
          <t>Marill</t>
        </is>
      </c>
      <c r="C39" s="26" t="inlineStr">
        <is>
          <t>Marill</t>
        </is>
      </c>
      <c r="D39" s="26" t="inlineStr">
        <is>
          <t>English</t>
        </is>
      </c>
      <c r="E39" s="26" t="inlineStr">
        <is>
          <t>International</t>
        </is>
      </c>
      <c r="F39" s="26" t="inlineStr">
        <is>
          <t>EX Sandstorm</t>
        </is>
      </c>
      <c r="G39" s="26" t="inlineStr">
        <is>
          <t>68/100</t>
        </is>
      </c>
      <c r="H39" s="26" t="inlineStr">
        <is>
          <t>Reverse Holo</t>
        </is>
      </c>
      <c r="I39" s="26" t="inlineStr">
        <is>
          <t>Reverse Holo</t>
        </is>
      </c>
      <c r="J39" s="26" t="n"/>
      <c r="K39" s="26" t="inlineStr">
        <is>
          <t>Out of print</t>
        </is>
      </c>
      <c r="L39" s="26" t="inlineStr">
        <is>
          <t>Buy the single. Start with TCGplayer/eBay or a local card show; bundle cheap cards from one seller.</t>
        </is>
      </c>
      <c r="M39" s="26" t="inlineStr">
        <is>
          <t>Marill 68/100 EX Sandstorm English Reverse Holo</t>
        </is>
      </c>
      <c r="N39" s="26" t="inlineStr">
        <is>
          <t>Easy</t>
        </is>
      </c>
      <c r="O39" s="26" t="inlineStr">
        <is>
          <t>NEED</t>
        </is>
      </c>
      <c r="P39" s="26" t="n">
        <v>0</v>
      </c>
      <c r="Q39" s="26" t="n"/>
      <c r="R39" s="26" t="inlineStr">
        <is>
          <t>add official reverse/holo counterpart if issued; add official reverse/holo counterpart if issued; add official reverse/holo counterpart if issued; StableKey=AZF-038</t>
        </is>
      </c>
      <c r="S39" s="26" t="inlineStr">
        <is>
          <t>https://bulbapedia.bulbagarden.net/wiki/Marill_(TCG)</t>
        </is>
      </c>
    </row>
    <row r="40">
      <c r="A40" s="26" t="n">
        <v>39</v>
      </c>
      <c r="B40" s="26" t="inlineStr">
        <is>
          <t>Marill</t>
        </is>
      </c>
      <c r="C40" s="26" t="inlineStr">
        <is>
          <t>Marill</t>
        </is>
      </c>
      <c r="D40" s="26" t="inlineStr">
        <is>
          <t>Japanese</t>
        </is>
      </c>
      <c r="E40" s="26" t="inlineStr">
        <is>
          <t>Japan</t>
        </is>
      </c>
      <c r="F40" s="26" t="inlineStr">
        <is>
          <t>Miracle of the Desert</t>
        </is>
      </c>
      <c r="G40" s="26" t="inlineStr">
        <is>
          <t>016/053</t>
        </is>
      </c>
      <c r="H40" s="26" t="inlineStr">
        <is>
          <t>1st Edition</t>
        </is>
      </c>
      <c r="I40" s="26" t="inlineStr">
        <is>
          <t>1st Edition</t>
        </is>
      </c>
      <c r="J40" s="26" t="n"/>
      <c r="K40" s="26" t="inlineStr">
        <is>
          <t>Out of print</t>
        </is>
      </c>
      <c r="L40" s="26" t="inlineStr">
        <is>
          <t>Buy the Japanese single. Use eBay/Cardmarket or Mercari/Yahoo Japan through a proxy; bundle proxy orders.</t>
        </is>
      </c>
      <c r="M40" s="26" t="inlineStr">
        <is>
          <t>Marill 016/053 Miracle of the Desert Japanese 1st Edition</t>
        </is>
      </c>
      <c r="N40" s="26" t="inlineStr">
        <is>
          <t>Medium</t>
        </is>
      </c>
      <c r="O40" s="26" t="inlineStr">
        <is>
          <t>NEED</t>
        </is>
      </c>
      <c r="P40" s="26" t="n">
        <v>0</v>
      </c>
      <c r="Q40" s="26" t="n"/>
      <c r="R40" s="26" t="inlineStr">
        <is>
          <t>StableKey=AZF-039</t>
        </is>
      </c>
      <c r="S40" s="26" t="inlineStr">
        <is>
          <t>https://bulbapedia.bulbagarden.net/wiki/Marill_(TCG)</t>
        </is>
      </c>
    </row>
    <row r="41">
      <c r="A41" s="26" t="n">
        <v>40</v>
      </c>
      <c r="B41" s="26" t="inlineStr">
        <is>
          <t>Marill</t>
        </is>
      </c>
      <c r="C41" s="26" t="inlineStr">
        <is>
          <t>Marill</t>
        </is>
      </c>
      <c r="D41" s="26" t="inlineStr">
        <is>
          <t>Japanese</t>
        </is>
      </c>
      <c r="E41" s="26" t="inlineStr">
        <is>
          <t>Japan</t>
        </is>
      </c>
      <c r="F41" s="26" t="inlineStr">
        <is>
          <t>Miracle of the Desert</t>
        </is>
      </c>
      <c r="G41" s="26" t="inlineStr">
        <is>
          <t>016/053</t>
        </is>
      </c>
      <c r="H41" s="26" t="inlineStr">
        <is>
          <t>Unlimited</t>
        </is>
      </c>
      <c r="I41" s="26" t="inlineStr">
        <is>
          <t>Unlimited</t>
        </is>
      </c>
      <c r="J41" s="26" t="n"/>
      <c r="K41" s="26" t="inlineStr">
        <is>
          <t>Out of print</t>
        </is>
      </c>
      <c r="L41" s="26" t="inlineStr">
        <is>
          <t>Buy the Japanese single. Use eBay/Cardmarket or Mercari/Yahoo Japan through a proxy; bundle proxy orders.</t>
        </is>
      </c>
      <c r="M41" s="26" t="inlineStr">
        <is>
          <t>Marill 016/053 Miracle of the Desert Japanese Unlimited</t>
        </is>
      </c>
      <c r="N41" s="26" t="inlineStr">
        <is>
          <t>Medium</t>
        </is>
      </c>
      <c r="O41" s="26" t="inlineStr">
        <is>
          <t>NEED</t>
        </is>
      </c>
      <c r="P41" s="26" t="n">
        <v>0</v>
      </c>
      <c r="Q41" s="26" t="n"/>
      <c r="R41" s="26" t="inlineStr">
        <is>
          <t>StableKey=AZF-040</t>
        </is>
      </c>
      <c r="S41" s="26" t="inlineStr">
        <is>
          <t>https://bulbapedia.bulbagarden.net/wiki/Marill_(TCG)</t>
        </is>
      </c>
    </row>
    <row r="42">
      <c r="A42" s="26" t="n">
        <v>41</v>
      </c>
      <c r="B42" s="26" t="inlineStr">
        <is>
          <t>Marill</t>
        </is>
      </c>
      <c r="C42" s="26" t="inlineStr">
        <is>
          <t>Marill</t>
        </is>
      </c>
      <c r="D42" s="26" t="inlineStr">
        <is>
          <t>English</t>
        </is>
      </c>
      <c r="E42" s="26" t="inlineStr">
        <is>
          <t>International</t>
        </is>
      </c>
      <c r="F42" s="26" t="inlineStr">
        <is>
          <t>EX Team Rocket Returns</t>
        </is>
      </c>
      <c r="G42" s="26" t="inlineStr">
        <is>
          <t>68/109</t>
        </is>
      </c>
      <c r="H42" s="26" t="inlineStr">
        <is>
          <t>Standard</t>
        </is>
      </c>
      <c r="I42" s="26" t="n"/>
      <c r="J42" s="26" t="n"/>
      <c r="K42" s="26" t="inlineStr">
        <is>
          <t>Out of print</t>
        </is>
      </c>
      <c r="L42" s="26" t="inlineStr">
        <is>
          <t>Buy the single. Start with TCGplayer/eBay or a local card show; bundle cheap cards from one seller.</t>
        </is>
      </c>
      <c r="M42" s="26" t="inlineStr">
        <is>
          <t>Marill 68/109 EX Team Rocket Returns English Standard</t>
        </is>
      </c>
      <c r="N42" s="26" t="inlineStr">
        <is>
          <t>Easy</t>
        </is>
      </c>
      <c r="O42" s="26" t="inlineStr">
        <is>
          <t>NEED</t>
        </is>
      </c>
      <c r="P42" s="26" t="n">
        <v>0</v>
      </c>
      <c r="Q42" s="26" t="n"/>
      <c r="R42" s="26" t="inlineStr">
        <is>
          <t>add official reverse/holo counterpart if issued; add official reverse/holo counterpart if issued; add official reverse/holo counterpart if issued; StableKey=AZF-041</t>
        </is>
      </c>
      <c r="S42" s="26" t="inlineStr">
        <is>
          <t>https://bulbapedia.bulbagarden.net/wiki/Marill_(TCG)</t>
        </is>
      </c>
    </row>
    <row r="43">
      <c r="A43" s="26" t="n">
        <v>42</v>
      </c>
      <c r="B43" s="26" t="inlineStr">
        <is>
          <t>Marill</t>
        </is>
      </c>
      <c r="C43" s="26" t="inlineStr">
        <is>
          <t>Marill</t>
        </is>
      </c>
      <c r="D43" s="26" t="inlineStr">
        <is>
          <t>English</t>
        </is>
      </c>
      <c r="E43" s="26" t="inlineStr">
        <is>
          <t>International</t>
        </is>
      </c>
      <c r="F43" s="26" t="inlineStr">
        <is>
          <t>EX Team Rocket Returns</t>
        </is>
      </c>
      <c r="G43" s="26" t="inlineStr">
        <is>
          <t>68/109</t>
        </is>
      </c>
      <c r="H43" s="26" t="inlineStr">
        <is>
          <t>Reverse Holo</t>
        </is>
      </c>
      <c r="I43" s="26" t="inlineStr">
        <is>
          <t>Reverse Holo</t>
        </is>
      </c>
      <c r="J43" s="26" t="n"/>
      <c r="K43" s="26" t="inlineStr">
        <is>
          <t>Out of print</t>
        </is>
      </c>
      <c r="L43" s="26" t="inlineStr">
        <is>
          <t>Buy the single. Start with TCGplayer/eBay or a local card show; bundle cheap cards from one seller.</t>
        </is>
      </c>
      <c r="M43" s="26" t="inlineStr">
        <is>
          <t>Marill 68/109 EX Team Rocket Returns English Reverse Holo</t>
        </is>
      </c>
      <c r="N43" s="26" t="inlineStr">
        <is>
          <t>Easy</t>
        </is>
      </c>
      <c r="O43" s="26" t="inlineStr">
        <is>
          <t>NEED</t>
        </is>
      </c>
      <c r="P43" s="26" t="n">
        <v>0</v>
      </c>
      <c r="Q43" s="26" t="n"/>
      <c r="R43" s="26" t="inlineStr">
        <is>
          <t>add official reverse/holo counterpart if issued; add official reverse/holo counterpart if issued; add official reverse/holo counterpart if issued; StableKey=AZF-042</t>
        </is>
      </c>
      <c r="S43" s="26" t="inlineStr">
        <is>
          <t>https://bulbapedia.bulbagarden.net/wiki/Marill_(TCG)</t>
        </is>
      </c>
    </row>
    <row r="44">
      <c r="A44" s="26" t="n">
        <v>43</v>
      </c>
      <c r="B44" s="26" t="inlineStr">
        <is>
          <t>Marill</t>
        </is>
      </c>
      <c r="C44" s="26" t="inlineStr">
        <is>
          <t>Marill</t>
        </is>
      </c>
      <c r="D44" s="26" t="inlineStr">
        <is>
          <t>Japanese</t>
        </is>
      </c>
      <c r="E44" s="26" t="inlineStr">
        <is>
          <t>Japan</t>
        </is>
      </c>
      <c r="F44" s="26" t="inlineStr">
        <is>
          <t>Rocket Gang Strikes Back</t>
        </is>
      </c>
      <c r="G44" s="26" t="inlineStr">
        <is>
          <t>024/084</t>
        </is>
      </c>
      <c r="H44" s="26" t="inlineStr">
        <is>
          <t>1st Edition</t>
        </is>
      </c>
      <c r="I44" s="26" t="inlineStr">
        <is>
          <t>1st Edition</t>
        </is>
      </c>
      <c r="J44" s="26" t="n"/>
      <c r="K44" s="26" t="inlineStr">
        <is>
          <t>Out of print</t>
        </is>
      </c>
      <c r="L44" s="26" t="inlineStr">
        <is>
          <t>Buy the Japanese single. Use eBay/Cardmarket or Mercari/Yahoo Japan through a proxy; bundle proxy orders.</t>
        </is>
      </c>
      <c r="M44" s="26" t="inlineStr">
        <is>
          <t>Marill 024/084 Rocket Gang Strikes Back Japanese 1st Edition</t>
        </is>
      </c>
      <c r="N44" s="26" t="inlineStr">
        <is>
          <t>Medium</t>
        </is>
      </c>
      <c r="O44" s="26" t="inlineStr">
        <is>
          <t>NEED</t>
        </is>
      </c>
      <c r="P44" s="26" t="n">
        <v>0</v>
      </c>
      <c r="Q44" s="26" t="n"/>
      <c r="R44" s="26" t="inlineStr">
        <is>
          <t>StableKey=AZF-043</t>
        </is>
      </c>
      <c r="S44" s="26" t="inlineStr">
        <is>
          <t>https://bulbapedia.bulbagarden.net/wiki/Marill_(TCG)</t>
        </is>
      </c>
    </row>
    <row r="45">
      <c r="A45" s="26" t="n">
        <v>44</v>
      </c>
      <c r="B45" s="26" t="inlineStr">
        <is>
          <t>Marill</t>
        </is>
      </c>
      <c r="C45" s="26" t="inlineStr">
        <is>
          <t>Marill</t>
        </is>
      </c>
      <c r="D45" s="26" t="inlineStr">
        <is>
          <t>Japanese</t>
        </is>
      </c>
      <c r="E45" s="26" t="inlineStr">
        <is>
          <t>Japan</t>
        </is>
      </c>
      <c r="F45" s="26" t="inlineStr">
        <is>
          <t>Rocket Gang Strikes Back</t>
        </is>
      </c>
      <c r="G45" s="26" t="inlineStr">
        <is>
          <t>024/084</t>
        </is>
      </c>
      <c r="H45" s="26" t="inlineStr">
        <is>
          <t>Unlimited</t>
        </is>
      </c>
      <c r="I45" s="26" t="inlineStr">
        <is>
          <t>Unlimited</t>
        </is>
      </c>
      <c r="J45" s="26" t="n"/>
      <c r="K45" s="26" t="inlineStr">
        <is>
          <t>Out of print</t>
        </is>
      </c>
      <c r="L45" s="26" t="inlineStr">
        <is>
          <t>Buy the Japanese single. Use eBay/Cardmarket or Mercari/Yahoo Japan through a proxy; bundle proxy orders.</t>
        </is>
      </c>
      <c r="M45" s="26" t="inlineStr">
        <is>
          <t>Marill 024/084 Rocket Gang Strikes Back Japanese Unlimited</t>
        </is>
      </c>
      <c r="N45" s="26" t="inlineStr">
        <is>
          <t>Medium</t>
        </is>
      </c>
      <c r="O45" s="26" t="inlineStr">
        <is>
          <t>NEED</t>
        </is>
      </c>
      <c r="P45" s="26" t="n">
        <v>0</v>
      </c>
      <c r="Q45" s="26" t="n"/>
      <c r="R45" s="26" t="inlineStr">
        <is>
          <t>StableKey=AZF-044</t>
        </is>
      </c>
      <c r="S45" s="26" t="inlineStr">
        <is>
          <t>https://bulbapedia.bulbagarden.net/wiki/Marill_(TCG)</t>
        </is>
      </c>
    </row>
    <row r="46">
      <c r="A46" s="26" t="n">
        <v>45</v>
      </c>
      <c r="B46" s="26" t="inlineStr">
        <is>
          <t>Marill</t>
        </is>
      </c>
      <c r="C46" s="26" t="inlineStr">
        <is>
          <t>Marill</t>
        </is>
      </c>
      <c r="D46" s="26" t="inlineStr">
        <is>
          <t>English</t>
        </is>
      </c>
      <c r="E46" s="26" t="inlineStr">
        <is>
          <t>International</t>
        </is>
      </c>
      <c r="F46" s="26" t="inlineStr">
        <is>
          <t>EX Delta Species</t>
        </is>
      </c>
      <c r="G46" s="26" t="inlineStr">
        <is>
          <t>76/113</t>
        </is>
      </c>
      <c r="H46" s="26" t="inlineStr">
        <is>
          <t>Standard</t>
        </is>
      </c>
      <c r="I46" s="26" t="n"/>
      <c r="J46" s="26" t="n"/>
      <c r="K46" s="26" t="inlineStr">
        <is>
          <t>Out of print</t>
        </is>
      </c>
      <c r="L46" s="26" t="inlineStr">
        <is>
          <t>Buy the single. Start with TCGplayer/eBay or a local card show; bundle cheap cards from one seller.</t>
        </is>
      </c>
      <c r="M46" s="26" t="inlineStr">
        <is>
          <t>Marill 76/113 EX Delta Species English Standard</t>
        </is>
      </c>
      <c r="N46" s="26" t="inlineStr">
        <is>
          <t>Easy</t>
        </is>
      </c>
      <c r="O46" s="26" t="inlineStr">
        <is>
          <t>NEED</t>
        </is>
      </c>
      <c r="P46" s="26" t="n">
        <v>0</v>
      </c>
      <c r="Q46" s="26" t="n"/>
      <c r="R46" s="26" t="inlineStr">
        <is>
          <t>add official reverse/holo counterpart if issued; add official reverse/holo counterpart if issued; add official reverse/holo counterpart if issued; StableKey=AZF-045</t>
        </is>
      </c>
      <c r="S46" s="26" t="inlineStr">
        <is>
          <t>https://bulbapedia.bulbagarden.net/wiki/Marill_(TCG)</t>
        </is>
      </c>
    </row>
    <row r="47">
      <c r="A47" s="26" t="n">
        <v>46</v>
      </c>
      <c r="B47" s="26" t="inlineStr">
        <is>
          <t>Marill</t>
        </is>
      </c>
      <c r="C47" s="26" t="inlineStr">
        <is>
          <t>Marill</t>
        </is>
      </c>
      <c r="D47" s="26" t="inlineStr">
        <is>
          <t>English</t>
        </is>
      </c>
      <c r="E47" s="26" t="inlineStr">
        <is>
          <t>International</t>
        </is>
      </c>
      <c r="F47" s="26" t="inlineStr">
        <is>
          <t>EX Delta Species</t>
        </is>
      </c>
      <c r="G47" s="26" t="inlineStr">
        <is>
          <t>76/113</t>
        </is>
      </c>
      <c r="H47" s="26" t="inlineStr">
        <is>
          <t>Reverse Holo</t>
        </is>
      </c>
      <c r="I47" s="26" t="inlineStr">
        <is>
          <t>Reverse Holo</t>
        </is>
      </c>
      <c r="J47" s="26" t="n"/>
      <c r="K47" s="26" t="inlineStr">
        <is>
          <t>Out of print</t>
        </is>
      </c>
      <c r="L47" s="26" t="inlineStr">
        <is>
          <t>Buy the single. Start with TCGplayer/eBay or a local card show; bundle cheap cards from one seller.</t>
        </is>
      </c>
      <c r="M47" s="26" t="inlineStr">
        <is>
          <t>Marill 76/113 EX Delta Species English Reverse Holo</t>
        </is>
      </c>
      <c r="N47" s="26" t="inlineStr">
        <is>
          <t>Easy</t>
        </is>
      </c>
      <c r="O47" s="26" t="inlineStr">
        <is>
          <t>NEED</t>
        </is>
      </c>
      <c r="P47" s="26" t="n">
        <v>0</v>
      </c>
      <c r="Q47" s="26" t="n"/>
      <c r="R47" s="26" t="inlineStr">
        <is>
          <t>add official reverse/holo counterpart if issued; add official reverse/holo counterpart if issued; add official reverse/holo counterpart if issued; StableKey=AZF-046</t>
        </is>
      </c>
      <c r="S47" s="26" t="inlineStr">
        <is>
          <t>https://bulbapedia.bulbagarden.net/wiki/Marill_(TCG)</t>
        </is>
      </c>
    </row>
    <row r="48">
      <c r="A48" s="26" t="n">
        <v>47</v>
      </c>
      <c r="B48" s="26" t="inlineStr">
        <is>
          <t>Marill</t>
        </is>
      </c>
      <c r="C48" s="26" t="inlineStr">
        <is>
          <t>Marill</t>
        </is>
      </c>
      <c r="D48" s="26" t="inlineStr">
        <is>
          <t>Japanese</t>
        </is>
      </c>
      <c r="E48" s="26" t="inlineStr">
        <is>
          <t>Japan</t>
        </is>
      </c>
      <c r="F48" s="26" t="inlineStr">
        <is>
          <t>Holon Research Tower Water Quarter Deck</t>
        </is>
      </c>
      <c r="G48" s="26" t="inlineStr">
        <is>
          <t>004/015</t>
        </is>
      </c>
      <c r="H48" s="26" t="inlineStr">
        <is>
          <t>Standard</t>
        </is>
      </c>
      <c r="I48" s="26" t="n"/>
      <c r="J48" s="26" t="n"/>
      <c r="K48" s="26" t="inlineStr">
        <is>
          <t>Out of print</t>
        </is>
      </c>
      <c r="L48" s="26" t="inlineStr">
        <is>
          <t>Buy the Japanese single. Use eBay/Cardmarket or Mercari/Yahoo Japan through a proxy; bundle proxy orders.</t>
        </is>
      </c>
      <c r="M48" s="26" t="inlineStr">
        <is>
          <t>Marill 004/015 Holon Research Tower Water Quarter Deck Japanese Standard</t>
        </is>
      </c>
      <c r="N48" s="26" t="inlineStr">
        <is>
          <t>Medium</t>
        </is>
      </c>
      <c r="O48" s="26" t="inlineStr">
        <is>
          <t>NEED</t>
        </is>
      </c>
      <c r="P48" s="26" t="n">
        <v>0</v>
      </c>
      <c r="Q48" s="26" t="n"/>
      <c r="R48" s="26" t="inlineStr">
        <is>
          <t>StableKey=AZF-047</t>
        </is>
      </c>
      <c r="S48" s="26" t="inlineStr">
        <is>
          <t>https://bulbapedia.bulbagarden.net/wiki/Marill_(TCG)</t>
        </is>
      </c>
    </row>
    <row r="49">
      <c r="A49" s="26" t="n">
        <v>48</v>
      </c>
      <c r="B49" s="26" t="inlineStr">
        <is>
          <t>Marill</t>
        </is>
      </c>
      <c r="C49" s="26" t="inlineStr">
        <is>
          <t>Marill</t>
        </is>
      </c>
      <c r="D49" s="26" t="inlineStr">
        <is>
          <t>English</t>
        </is>
      </c>
      <c r="E49" s="26" t="inlineStr">
        <is>
          <t>International</t>
        </is>
      </c>
      <c r="F49" s="26" t="inlineStr">
        <is>
          <t>Diamond &amp; Pearl</t>
        </is>
      </c>
      <c r="G49" s="26" t="inlineStr">
        <is>
          <t>88/130</t>
        </is>
      </c>
      <c r="H49" s="26" t="inlineStr">
        <is>
          <t>Standard</t>
        </is>
      </c>
      <c r="I49" s="26" t="n"/>
      <c r="J49" s="26" t="n"/>
      <c r="K49" s="26" t="inlineStr">
        <is>
          <t>Out of print</t>
        </is>
      </c>
      <c r="L49" s="26" t="inlineStr">
        <is>
          <t>Buy the single. Start with TCGplayer/eBay or a local card show; bundle cheap cards from one seller.</t>
        </is>
      </c>
      <c r="M49" s="26" t="inlineStr">
        <is>
          <t>Marill 88/130 Diamond &amp; Pearl English Standard</t>
        </is>
      </c>
      <c r="N49" s="26" t="inlineStr">
        <is>
          <t>Easy</t>
        </is>
      </c>
      <c r="O49" s="26" t="inlineStr">
        <is>
          <t>NEED</t>
        </is>
      </c>
      <c r="P49" s="26" t="n">
        <v>0</v>
      </c>
      <c r="Q49" s="26" t="n"/>
      <c r="R49" s="26" t="inlineStr">
        <is>
          <t>add official reverse/holo counterpart if issued; add official reverse/holo counterpart if issued; add official reverse/holo counterpart if issued; StableKey=AZF-048</t>
        </is>
      </c>
      <c r="S49" s="26" t="inlineStr">
        <is>
          <t>https://bulbapedia.bulbagarden.net/wiki/Marill_(TCG)</t>
        </is>
      </c>
    </row>
    <row r="50">
      <c r="A50" s="26" t="n">
        <v>49</v>
      </c>
      <c r="B50" s="26" t="inlineStr">
        <is>
          <t>Marill</t>
        </is>
      </c>
      <c r="C50" s="26" t="inlineStr">
        <is>
          <t>Marill</t>
        </is>
      </c>
      <c r="D50" s="26" t="inlineStr">
        <is>
          <t>English</t>
        </is>
      </c>
      <c r="E50" s="26" t="inlineStr">
        <is>
          <t>International</t>
        </is>
      </c>
      <c r="F50" s="26" t="inlineStr">
        <is>
          <t>Diamond &amp; Pearl</t>
        </is>
      </c>
      <c r="G50" s="26" t="inlineStr">
        <is>
          <t>88/130</t>
        </is>
      </c>
      <c r="H50" s="26" t="inlineStr">
        <is>
          <t>Reverse Holo</t>
        </is>
      </c>
      <c r="I50" s="26" t="inlineStr">
        <is>
          <t>Reverse Holo</t>
        </is>
      </c>
      <c r="J50" s="26" t="n"/>
      <c r="K50" s="26" t="inlineStr">
        <is>
          <t>Out of print</t>
        </is>
      </c>
      <c r="L50" s="26" t="inlineStr">
        <is>
          <t>Buy the single. Start with TCGplayer/eBay or a local card show; bundle cheap cards from one seller.</t>
        </is>
      </c>
      <c r="M50" s="26" t="inlineStr">
        <is>
          <t>Marill 88/130 Diamond &amp; Pearl English Reverse Holo</t>
        </is>
      </c>
      <c r="N50" s="26" t="inlineStr">
        <is>
          <t>Easy</t>
        </is>
      </c>
      <c r="O50" s="26" t="inlineStr">
        <is>
          <t>NEED</t>
        </is>
      </c>
      <c r="P50" s="26" t="n">
        <v>0</v>
      </c>
      <c r="Q50" s="26" t="n"/>
      <c r="R50" s="26" t="inlineStr">
        <is>
          <t>add official reverse/holo counterpart if issued; add official reverse/holo counterpart if issued; add official reverse/holo counterpart if issued; StableKey=AZF-049</t>
        </is>
      </c>
      <c r="S50" s="26" t="inlineStr">
        <is>
          <t>https://bulbapedia.bulbagarden.net/wiki/Marill_(TCG)</t>
        </is>
      </c>
    </row>
    <row r="51">
      <c r="A51" s="26" t="n">
        <v>50</v>
      </c>
      <c r="B51" s="26" t="inlineStr">
        <is>
          <t>Marill</t>
        </is>
      </c>
      <c r="C51" s="26" t="inlineStr">
        <is>
          <t>Marill</t>
        </is>
      </c>
      <c r="D51" s="26" t="inlineStr">
        <is>
          <t>Spanish</t>
        </is>
      </c>
      <c r="E51" s="26" t="inlineStr">
        <is>
          <t>International</t>
        </is>
      </c>
      <c r="F51" s="26" t="inlineStr">
        <is>
          <t>Diamond &amp; Pearl</t>
        </is>
      </c>
      <c r="G51" s="26" t="inlineStr">
        <is>
          <t>88/130</t>
        </is>
      </c>
      <c r="H51" s="26" t="inlineStr">
        <is>
          <t>Standard</t>
        </is>
      </c>
      <c r="I51" s="26" t="n"/>
      <c r="J51" s="26" t="n"/>
      <c r="K51" s="26" t="inlineStr">
        <is>
          <t>Out of print</t>
        </is>
      </c>
      <c r="L51" s="26" t="inlineStr">
        <is>
          <t>Buy the Spanish single. Cardmarket/eBay are usually best; filter Language = Spanish and bundle orders.</t>
        </is>
      </c>
      <c r="M51" s="26" t="inlineStr">
        <is>
          <t>Marill 88/130 Diamond &amp; Pearl Spanish Standard</t>
        </is>
      </c>
      <c r="N51" s="26" t="inlineStr">
        <is>
          <t>Medium</t>
        </is>
      </c>
      <c r="O51" s="26" t="inlineStr">
        <is>
          <t>NEED</t>
        </is>
      </c>
      <c r="P51" s="26" t="n">
        <v>0</v>
      </c>
      <c r="Q51" s="26" t="n"/>
      <c r="R51" s="26" t="inlineStr">
        <is>
          <t>add official reverse/holo counterpart if issued; add official reverse/holo counterpart if issued; add official reverse/holo counterpart if issued; StableKey=AZF-050</t>
        </is>
      </c>
      <c r="S51" s="26" t="inlineStr">
        <is>
          <t>https://bulbapedia.bulbagarden.net/wiki/Marill_(TCG)</t>
        </is>
      </c>
    </row>
    <row r="52">
      <c r="A52" s="26" t="n">
        <v>51</v>
      </c>
      <c r="B52" s="26" t="inlineStr">
        <is>
          <t>Marill</t>
        </is>
      </c>
      <c r="C52" s="26" t="inlineStr">
        <is>
          <t>Marill</t>
        </is>
      </c>
      <c r="D52" s="26" t="inlineStr">
        <is>
          <t>Japanese</t>
        </is>
      </c>
      <c r="E52" s="26" t="inlineStr">
        <is>
          <t>Japan</t>
        </is>
      </c>
      <c r="F52" s="26" t="inlineStr">
        <is>
          <t>Space-Time Creation</t>
        </is>
      </c>
      <c r="G52" s="26" t="n"/>
      <c r="H52" s="26" t="inlineStr">
        <is>
          <t>1st Edition</t>
        </is>
      </c>
      <c r="I52" s="26" t="inlineStr">
        <is>
          <t>1st Edition</t>
        </is>
      </c>
      <c r="J52" s="26" t="n"/>
      <c r="K52" s="26" t="inlineStr">
        <is>
          <t>Out of print</t>
        </is>
      </c>
      <c r="L52" s="26" t="inlineStr">
        <is>
          <t>Buy the Japanese single. Use eBay/Cardmarket or Mercari/Yahoo Japan through a proxy; bundle proxy orders.</t>
        </is>
      </c>
      <c r="M52" s="26" t="inlineStr">
        <is>
          <t>Marill Space-Time Creation Japanese 1st Edition</t>
        </is>
      </c>
      <c r="N52" s="26" t="inlineStr">
        <is>
          <t>Medium</t>
        </is>
      </c>
      <c r="O52" s="26" t="inlineStr">
        <is>
          <t>NEED</t>
        </is>
      </c>
      <c r="P52" s="26" t="n">
        <v>0</v>
      </c>
      <c r="Q52" s="26" t="n"/>
      <c r="R52" s="26" t="inlineStr">
        <is>
          <t>StableKey=AZF-051</t>
        </is>
      </c>
      <c r="S52" s="26" t="inlineStr">
        <is>
          <t>https://bulbapedia.bulbagarden.net/wiki/Marill_(TCG)</t>
        </is>
      </c>
    </row>
    <row r="53">
      <c r="A53" s="26" t="n">
        <v>52</v>
      </c>
      <c r="B53" s="26" t="inlineStr">
        <is>
          <t>Marill</t>
        </is>
      </c>
      <c r="C53" s="26" t="inlineStr">
        <is>
          <t>Marill</t>
        </is>
      </c>
      <c r="D53" s="26" t="inlineStr">
        <is>
          <t>Japanese</t>
        </is>
      </c>
      <c r="E53" s="26" t="inlineStr">
        <is>
          <t>Japan</t>
        </is>
      </c>
      <c r="F53" s="26" t="inlineStr">
        <is>
          <t>Space-Time Creation</t>
        </is>
      </c>
      <c r="G53" s="26" t="n"/>
      <c r="H53" s="26" t="inlineStr">
        <is>
          <t>Unlimited</t>
        </is>
      </c>
      <c r="I53" s="26" t="inlineStr">
        <is>
          <t>Unlimited</t>
        </is>
      </c>
      <c r="J53" s="26" t="n"/>
      <c r="K53" s="26" t="inlineStr">
        <is>
          <t>Out of print</t>
        </is>
      </c>
      <c r="L53" s="26" t="inlineStr">
        <is>
          <t>Buy the Japanese single. Use eBay/Cardmarket or Mercari/Yahoo Japan through a proxy; bundle proxy orders.</t>
        </is>
      </c>
      <c r="M53" s="26" t="inlineStr">
        <is>
          <t>Marill Space-Time Creation Japanese Unlimited</t>
        </is>
      </c>
      <c r="N53" s="26" t="inlineStr">
        <is>
          <t>Medium</t>
        </is>
      </c>
      <c r="O53" s="26" t="inlineStr">
        <is>
          <t>NEED</t>
        </is>
      </c>
      <c r="P53" s="26" t="n">
        <v>0</v>
      </c>
      <c r="Q53" s="26" t="n"/>
      <c r="R53" s="26" t="inlineStr">
        <is>
          <t>StableKey=AZF-052</t>
        </is>
      </c>
      <c r="S53" s="26" t="inlineStr">
        <is>
          <t>https://bulbapedia.bulbagarden.net/wiki/Marill_(TCG)</t>
        </is>
      </c>
    </row>
    <row r="54">
      <c r="A54" s="26" t="n">
        <v>53</v>
      </c>
      <c r="B54" s="26" t="inlineStr">
        <is>
          <t>Marill</t>
        </is>
      </c>
      <c r="C54" s="26" t="inlineStr">
        <is>
          <t>Marill</t>
        </is>
      </c>
      <c r="D54" s="26" t="inlineStr">
        <is>
          <t>English</t>
        </is>
      </c>
      <c r="E54" s="26" t="inlineStr">
        <is>
          <t>International</t>
        </is>
      </c>
      <c r="F54" s="26" t="inlineStr">
        <is>
          <t>HeartGold &amp; SoulSilver</t>
        </is>
      </c>
      <c r="G54" s="26" t="inlineStr">
        <is>
          <t>74/123</t>
        </is>
      </c>
      <c r="H54" s="26" t="inlineStr">
        <is>
          <t>Standard</t>
        </is>
      </c>
      <c r="I54" s="26" t="n"/>
      <c r="J54" s="26" t="n"/>
      <c r="K54" s="26" t="inlineStr">
        <is>
          <t>Out of print</t>
        </is>
      </c>
      <c r="L54" s="26" t="inlineStr">
        <is>
          <t>Buy the single. Start with TCGplayer/eBay or a local card show; bundle cheap cards from one seller.</t>
        </is>
      </c>
      <c r="M54" s="26" t="inlineStr">
        <is>
          <t>Marill 74/123 HeartGold &amp; SoulSilver English Standard</t>
        </is>
      </c>
      <c r="N54" s="26" t="inlineStr">
        <is>
          <t>Easy</t>
        </is>
      </c>
      <c r="O54" s="26" t="inlineStr">
        <is>
          <t>NEED</t>
        </is>
      </c>
      <c r="P54" s="26" t="n">
        <v>0</v>
      </c>
      <c r="Q54" s="26" t="n"/>
      <c r="R54" s="26" t="inlineStr">
        <is>
          <t>add official reverse/holo counterpart if issued; add official reverse/holo counterpart if issued; add official reverse/holo counterpart if issued; StableKey=AZF-053</t>
        </is>
      </c>
      <c r="S54" s="26" t="inlineStr">
        <is>
          <t>https://bulbapedia.bulbagarden.net/wiki/Marill_(TCG)</t>
        </is>
      </c>
    </row>
    <row r="55">
      <c r="A55" s="26" t="n">
        <v>54</v>
      </c>
      <c r="B55" s="26" t="inlineStr">
        <is>
          <t>Marill</t>
        </is>
      </c>
      <c r="C55" s="26" t="inlineStr">
        <is>
          <t>Marill</t>
        </is>
      </c>
      <c r="D55" s="26" t="inlineStr">
        <is>
          <t>English</t>
        </is>
      </c>
      <c r="E55" s="26" t="inlineStr">
        <is>
          <t>International</t>
        </is>
      </c>
      <c r="F55" s="26" t="inlineStr">
        <is>
          <t>HeartGold &amp; SoulSilver</t>
        </is>
      </c>
      <c r="G55" s="26" t="inlineStr">
        <is>
          <t>74/123</t>
        </is>
      </c>
      <c r="H55" s="26" t="inlineStr">
        <is>
          <t>Reverse Holo</t>
        </is>
      </c>
      <c r="I55" s="26" t="inlineStr">
        <is>
          <t>Reverse Holo</t>
        </is>
      </c>
      <c r="J55" s="26" t="n"/>
      <c r="K55" s="26" t="inlineStr">
        <is>
          <t>Out of print</t>
        </is>
      </c>
      <c r="L55" s="26" t="inlineStr">
        <is>
          <t>Buy the single. Start with TCGplayer/eBay or a local card show; bundle cheap cards from one seller.</t>
        </is>
      </c>
      <c r="M55" s="26" t="inlineStr">
        <is>
          <t>Marill 74/123 HeartGold &amp; SoulSilver English Reverse Holo</t>
        </is>
      </c>
      <c r="N55" s="26" t="inlineStr">
        <is>
          <t>Easy</t>
        </is>
      </c>
      <c r="O55" s="26" t="inlineStr">
        <is>
          <t>NEED</t>
        </is>
      </c>
      <c r="P55" s="26" t="n">
        <v>0</v>
      </c>
      <c r="Q55" s="26" t="n"/>
      <c r="R55" s="26" t="inlineStr">
        <is>
          <t>add official reverse/holo counterpart if issued; add official reverse/holo counterpart if issued; add official reverse/holo counterpart if issued; StableKey=AZF-054</t>
        </is>
      </c>
      <c r="S55" s="26" t="inlineStr">
        <is>
          <t>https://bulbapedia.bulbagarden.net/wiki/Marill_(TCG)</t>
        </is>
      </c>
    </row>
    <row r="56">
      <c r="A56" s="26" t="n">
        <v>55</v>
      </c>
      <c r="B56" s="26" t="inlineStr">
        <is>
          <t>Marill</t>
        </is>
      </c>
      <c r="C56" s="26" t="inlineStr">
        <is>
          <t>Marill</t>
        </is>
      </c>
      <c r="D56" s="26" t="inlineStr">
        <is>
          <t>Spanish</t>
        </is>
      </c>
      <c r="E56" s="26" t="inlineStr">
        <is>
          <t>International</t>
        </is>
      </c>
      <c r="F56" s="26" t="inlineStr">
        <is>
          <t>HeartGold &amp; SoulSilver</t>
        </is>
      </c>
      <c r="G56" s="26" t="inlineStr">
        <is>
          <t>74/123</t>
        </is>
      </c>
      <c r="H56" s="26" t="inlineStr">
        <is>
          <t>Standard</t>
        </is>
      </c>
      <c r="I56" s="26" t="n"/>
      <c r="J56" s="26" t="n"/>
      <c r="K56" s="26" t="inlineStr">
        <is>
          <t>Out of print</t>
        </is>
      </c>
      <c r="L56" s="26" t="inlineStr">
        <is>
          <t>Buy the Spanish single. Cardmarket/eBay are usually best; filter Language = Spanish and bundle orders.</t>
        </is>
      </c>
      <c r="M56" s="26" t="inlineStr">
        <is>
          <t>Marill 74/123 HeartGold &amp; SoulSilver Spanish Standard</t>
        </is>
      </c>
      <c r="N56" s="26" t="inlineStr">
        <is>
          <t>Medium</t>
        </is>
      </c>
      <c r="O56" s="26" t="inlineStr">
        <is>
          <t>NEED</t>
        </is>
      </c>
      <c r="P56" s="26" t="n">
        <v>0</v>
      </c>
      <c r="Q56" s="26" t="n"/>
      <c r="R56" s="26" t="inlineStr">
        <is>
          <t>add official reverse/holo counterpart if issued; add official reverse/holo counterpart if issued; add official reverse/holo counterpart if issued; StableKey=AZF-055</t>
        </is>
      </c>
      <c r="S56" s="26" t="inlineStr">
        <is>
          <t>https://bulbapedia.bulbagarden.net/wiki/Marill_(TCG)</t>
        </is>
      </c>
    </row>
    <row r="57">
      <c r="A57" s="26" t="n">
        <v>56</v>
      </c>
      <c r="B57" s="26" t="inlineStr">
        <is>
          <t>Marill</t>
        </is>
      </c>
      <c r="C57" s="26" t="inlineStr">
        <is>
          <t>Marill</t>
        </is>
      </c>
      <c r="D57" s="26" t="inlineStr">
        <is>
          <t>Spanish</t>
        </is>
      </c>
      <c r="E57" s="26" t="inlineStr">
        <is>
          <t>International</t>
        </is>
      </c>
      <c r="F57" s="26" t="inlineStr">
        <is>
          <t>HeartGold &amp; SoulSilver</t>
        </is>
      </c>
      <c r="G57" s="26" t="inlineStr">
        <is>
          <t>74/123</t>
        </is>
      </c>
      <c r="H57" s="26" t="inlineStr">
        <is>
          <t>Reverse Holo</t>
        </is>
      </c>
      <c r="I57" s="26" t="inlineStr">
        <is>
          <t>Reverse Holo</t>
        </is>
      </c>
      <c r="J57" s="26" t="n"/>
      <c r="K57" s="26" t="inlineStr">
        <is>
          <t>Out of print</t>
        </is>
      </c>
      <c r="L57" s="26" t="inlineStr">
        <is>
          <t>Buy the Spanish single. Cardmarket/eBay are usually best; filter Language = Spanish and bundle orders.</t>
        </is>
      </c>
      <c r="M57" s="26" t="inlineStr">
        <is>
          <t>Marill 74/123 HeartGold &amp; SoulSilver Spanish Reverse Holo</t>
        </is>
      </c>
      <c r="N57" s="26" t="inlineStr">
        <is>
          <t>Medium</t>
        </is>
      </c>
      <c r="O57" s="26" t="inlineStr">
        <is>
          <t>NEED</t>
        </is>
      </c>
      <c r="P57" s="26" t="n">
        <v>0</v>
      </c>
      <c r="Q57" s="26" t="n"/>
      <c r="R57" s="26" t="inlineStr">
        <is>
          <t>add official reverse/holo counterpart if issued; add official reverse/holo counterpart if issued; add official reverse/holo counterpart if issued; StableKey=AZF-056</t>
        </is>
      </c>
      <c r="S57" s="26" t="inlineStr">
        <is>
          <t>https://bulbapedia.bulbagarden.net/wiki/Marill_(TCG)</t>
        </is>
      </c>
    </row>
    <row r="58">
      <c r="A58" s="26" t="n">
        <v>57</v>
      </c>
      <c r="B58" s="26" t="inlineStr">
        <is>
          <t>Marill</t>
        </is>
      </c>
      <c r="C58" s="26" t="inlineStr">
        <is>
          <t>Marill</t>
        </is>
      </c>
      <c r="D58" s="26" t="inlineStr">
        <is>
          <t>Japanese</t>
        </is>
      </c>
      <c r="E58" s="26" t="inlineStr">
        <is>
          <t>Japan</t>
        </is>
      </c>
      <c r="F58" s="26" t="inlineStr">
        <is>
          <t>SoulSilver Collection</t>
        </is>
      </c>
      <c r="G58" s="26" t="inlineStr">
        <is>
          <t>024/070</t>
        </is>
      </c>
      <c r="H58" s="26" t="inlineStr">
        <is>
          <t>1st Edition</t>
        </is>
      </c>
      <c r="I58" s="26" t="inlineStr">
        <is>
          <t>1st Edition</t>
        </is>
      </c>
      <c r="J58" s="26" t="n"/>
      <c r="K58" s="26" t="inlineStr">
        <is>
          <t>Out of print</t>
        </is>
      </c>
      <c r="L58" s="26" t="inlineStr">
        <is>
          <t>Buy the Japanese single. Use eBay/Cardmarket or Mercari/Yahoo Japan through a proxy; bundle proxy orders.</t>
        </is>
      </c>
      <c r="M58" s="26" t="inlineStr">
        <is>
          <t>Marill 024/070 SoulSilver Collection Japanese 1st Edition</t>
        </is>
      </c>
      <c r="N58" s="26" t="inlineStr">
        <is>
          <t>Medium</t>
        </is>
      </c>
      <c r="O58" s="26" t="inlineStr">
        <is>
          <t>NEED</t>
        </is>
      </c>
      <c r="P58" s="26" t="n">
        <v>0</v>
      </c>
      <c r="Q58" s="26" t="n"/>
      <c r="R58" s="26" t="inlineStr">
        <is>
          <t>StableKey=AZF-057</t>
        </is>
      </c>
      <c r="S58" s="26" t="inlineStr">
        <is>
          <t>https://bulbapedia.bulbagarden.net/wiki/Marill_(TCG)</t>
        </is>
      </c>
    </row>
    <row r="59">
      <c r="A59" s="26" t="n">
        <v>58</v>
      </c>
      <c r="B59" s="26" t="inlineStr">
        <is>
          <t>Marill</t>
        </is>
      </c>
      <c r="C59" s="26" t="inlineStr">
        <is>
          <t>Marill</t>
        </is>
      </c>
      <c r="D59" s="26" t="inlineStr">
        <is>
          <t>Japanese</t>
        </is>
      </c>
      <c r="E59" s="26" t="inlineStr">
        <is>
          <t>Japan</t>
        </is>
      </c>
      <c r="F59" s="26" t="inlineStr">
        <is>
          <t>SoulSilver Collection</t>
        </is>
      </c>
      <c r="G59" s="26" t="inlineStr">
        <is>
          <t>024/070</t>
        </is>
      </c>
      <c r="H59" s="26" t="inlineStr">
        <is>
          <t>1st Edition Mirror Reverse</t>
        </is>
      </c>
      <c r="I59" s="26" t="inlineStr">
        <is>
          <t>Mirror Reverse</t>
        </is>
      </c>
      <c r="J59" s="26" t="n"/>
      <c r="K59" s="26" t="inlineStr">
        <is>
          <t>Out of print</t>
        </is>
      </c>
      <c r="L59" s="26" t="inlineStr">
        <is>
          <t>Buy the Japanese single. Use eBay/Cardmarket or Mercari/Yahoo Japan through a proxy; bundle proxy orders.</t>
        </is>
      </c>
      <c r="M59" s="26" t="inlineStr">
        <is>
          <t>Marill 024/070 SoulSilver Collection Japanese 1st Edition Mirror Reverse</t>
        </is>
      </c>
      <c r="N59" s="26" t="inlineStr">
        <is>
          <t>Medium</t>
        </is>
      </c>
      <c r="O59" s="26" t="inlineStr">
        <is>
          <t>NEED</t>
        </is>
      </c>
      <c r="P59" s="26" t="n">
        <v>0</v>
      </c>
      <c r="Q59" s="26" t="n"/>
      <c r="R59" s="26" t="inlineStr">
        <is>
          <t>StableKey=AZF-058</t>
        </is>
      </c>
      <c r="S59" s="26" t="inlineStr">
        <is>
          <t>https://bulbapedia.bulbagarden.net/wiki/Marill_(TCG)</t>
        </is>
      </c>
    </row>
    <row r="60">
      <c r="A60" s="26" t="n">
        <v>59</v>
      </c>
      <c r="B60" s="26" t="inlineStr">
        <is>
          <t>Marill</t>
        </is>
      </c>
      <c r="C60" s="26" t="inlineStr">
        <is>
          <t>Marill</t>
        </is>
      </c>
      <c r="D60" s="26" t="inlineStr">
        <is>
          <t>English</t>
        </is>
      </c>
      <c r="E60" s="26" t="inlineStr">
        <is>
          <t>International</t>
        </is>
      </c>
      <c r="F60" s="26" t="inlineStr">
        <is>
          <t>Boundaries Crossed</t>
        </is>
      </c>
      <c r="G60" s="26" t="inlineStr">
        <is>
          <t>36/149</t>
        </is>
      </c>
      <c r="H60" s="26" t="inlineStr">
        <is>
          <t>Standard</t>
        </is>
      </c>
      <c r="I60" s="26" t="n"/>
      <c r="J60" s="26" t="n"/>
      <c r="K60" s="26" t="inlineStr">
        <is>
          <t>Out of print</t>
        </is>
      </c>
      <c r="L60" s="26" t="inlineStr">
        <is>
          <t>Buy the single. Start with TCGplayer/eBay or a local card show; bundle cheap cards from one seller.</t>
        </is>
      </c>
      <c r="M60" s="26" t="inlineStr">
        <is>
          <t>Marill 36/149 Boundaries Crossed English Standard</t>
        </is>
      </c>
      <c r="N60" s="26" t="inlineStr">
        <is>
          <t>Easy</t>
        </is>
      </c>
      <c r="O60" s="26" t="inlineStr">
        <is>
          <t>NEED</t>
        </is>
      </c>
      <c r="P60" s="26" t="n">
        <v>0</v>
      </c>
      <c r="Q60" s="26" t="n"/>
      <c r="R60" s="26" t="inlineStr">
        <is>
          <t>add official reverse/holo counterpart if issued; add official reverse/holo counterpart if issued; add official reverse/holo counterpart if issued; StableKey=AZF-059</t>
        </is>
      </c>
      <c r="S60" s="26" t="inlineStr">
        <is>
          <t>https://bulbapedia.bulbagarden.net/wiki/Marill_(TCG)</t>
        </is>
      </c>
    </row>
    <row r="61">
      <c r="A61" s="26" t="n">
        <v>60</v>
      </c>
      <c r="B61" s="26" t="inlineStr">
        <is>
          <t>Marill</t>
        </is>
      </c>
      <c r="C61" s="26" t="inlineStr">
        <is>
          <t>Marill</t>
        </is>
      </c>
      <c r="D61" s="26" t="inlineStr">
        <is>
          <t>English</t>
        </is>
      </c>
      <c r="E61" s="26" t="inlineStr">
        <is>
          <t>International</t>
        </is>
      </c>
      <c r="F61" s="26" t="inlineStr">
        <is>
          <t>Boundaries Crossed</t>
        </is>
      </c>
      <c r="G61" s="26" t="inlineStr">
        <is>
          <t>36/149</t>
        </is>
      </c>
      <c r="H61" s="26" t="inlineStr">
        <is>
          <t>Reverse Holo</t>
        </is>
      </c>
      <c r="I61" s="26" t="inlineStr">
        <is>
          <t>Reverse Holo</t>
        </is>
      </c>
      <c r="J61" s="26" t="n"/>
      <c r="K61" s="26" t="inlineStr">
        <is>
          <t>Out of print</t>
        </is>
      </c>
      <c r="L61" s="26" t="inlineStr">
        <is>
          <t>Buy the single. Start with TCGplayer/eBay or a local card show; bundle cheap cards from one seller.</t>
        </is>
      </c>
      <c r="M61" s="26" t="inlineStr">
        <is>
          <t>Marill 36/149 Boundaries Crossed English Reverse Holo</t>
        </is>
      </c>
      <c r="N61" s="26" t="inlineStr">
        <is>
          <t>Easy</t>
        </is>
      </c>
      <c r="O61" s="26" t="inlineStr">
        <is>
          <t>NEED</t>
        </is>
      </c>
      <c r="P61" s="26" t="n">
        <v>0</v>
      </c>
      <c r="Q61" s="26" t="n"/>
      <c r="R61" s="26" t="inlineStr">
        <is>
          <t>add official reverse/holo counterpart if issued; add official reverse/holo counterpart if issued; add official reverse/holo counterpart if issued; StableKey=AZF-060</t>
        </is>
      </c>
      <c r="S61" s="26" t="inlineStr">
        <is>
          <t>https://bulbapedia.bulbagarden.net/wiki/Marill_(TCG)</t>
        </is>
      </c>
    </row>
    <row r="62">
      <c r="A62" s="26" t="n">
        <v>61</v>
      </c>
      <c r="B62" s="26" t="inlineStr">
        <is>
          <t>Marill</t>
        </is>
      </c>
      <c r="C62" s="26" t="inlineStr">
        <is>
          <t>Marill</t>
        </is>
      </c>
      <c r="D62" s="26" t="inlineStr">
        <is>
          <t>Spanish</t>
        </is>
      </c>
      <c r="E62" s="26" t="inlineStr">
        <is>
          <t>International</t>
        </is>
      </c>
      <c r="F62" s="26" t="inlineStr">
        <is>
          <t>Boundaries Crossed</t>
        </is>
      </c>
      <c r="G62" s="26" t="inlineStr">
        <is>
          <t>36/149</t>
        </is>
      </c>
      <c r="H62" s="26" t="inlineStr">
        <is>
          <t>Standard</t>
        </is>
      </c>
      <c r="I62" s="26" t="n"/>
      <c r="J62" s="26" t="n"/>
      <c r="K62" s="26" t="inlineStr">
        <is>
          <t>Out of print</t>
        </is>
      </c>
      <c r="L62" s="26" t="inlineStr">
        <is>
          <t>Buy the Spanish single. Cardmarket/eBay are usually best; filter Language = Spanish and bundle orders.</t>
        </is>
      </c>
      <c r="M62" s="26" t="inlineStr">
        <is>
          <t>Marill 36/149 Boundaries Crossed Spanish Standard</t>
        </is>
      </c>
      <c r="N62" s="26" t="inlineStr">
        <is>
          <t>Medium</t>
        </is>
      </c>
      <c r="O62" s="26" t="inlineStr">
        <is>
          <t>NEED</t>
        </is>
      </c>
      <c r="P62" s="26" t="n">
        <v>0</v>
      </c>
      <c r="Q62" s="26" t="n"/>
      <c r="R62" s="26" t="inlineStr">
        <is>
          <t>add official reverse/holo counterpart if issued; add official reverse/holo counterpart if issued; add official reverse/holo counterpart if issued; StableKey=AZF-061</t>
        </is>
      </c>
      <c r="S62" s="26" t="inlineStr">
        <is>
          <t>https://bulbapedia.bulbagarden.net/wiki/Marill_(TCG)</t>
        </is>
      </c>
    </row>
    <row r="63">
      <c r="A63" s="26" t="n">
        <v>62</v>
      </c>
      <c r="B63" s="26" t="inlineStr">
        <is>
          <t>Marill</t>
        </is>
      </c>
      <c r="C63" s="26" t="inlineStr">
        <is>
          <t>Marill</t>
        </is>
      </c>
      <c r="D63" s="26" t="inlineStr">
        <is>
          <t>Spanish</t>
        </is>
      </c>
      <c r="E63" s="26" t="inlineStr">
        <is>
          <t>International</t>
        </is>
      </c>
      <c r="F63" s="26" t="inlineStr">
        <is>
          <t>Boundaries Crossed</t>
        </is>
      </c>
      <c r="G63" s="26" t="inlineStr">
        <is>
          <t>36/149</t>
        </is>
      </c>
      <c r="H63" s="26" t="inlineStr">
        <is>
          <t>Reverse Holo</t>
        </is>
      </c>
      <c r="I63" s="26" t="inlineStr">
        <is>
          <t>Reverse Holo</t>
        </is>
      </c>
      <c r="J63" s="26" t="n"/>
      <c r="K63" s="26" t="inlineStr">
        <is>
          <t>Out of print</t>
        </is>
      </c>
      <c r="L63" s="26" t="inlineStr">
        <is>
          <t>Buy the Spanish single. Cardmarket/eBay are usually best; filter Language = Spanish and bundle orders.</t>
        </is>
      </c>
      <c r="M63" s="26" t="inlineStr">
        <is>
          <t>Marill 36/149 Boundaries Crossed Spanish Reverse Holo</t>
        </is>
      </c>
      <c r="N63" s="26" t="inlineStr">
        <is>
          <t>Medium</t>
        </is>
      </c>
      <c r="O63" s="26" t="inlineStr">
        <is>
          <t>NEED</t>
        </is>
      </c>
      <c r="P63" s="26" t="n">
        <v>0</v>
      </c>
      <c r="Q63" s="26" t="n"/>
      <c r="R63" s="26" t="inlineStr">
        <is>
          <t>add official reverse/holo counterpart if issued; add official reverse/holo counterpart if issued; add official reverse/holo counterpart if issued; StableKey=AZF-062</t>
        </is>
      </c>
      <c r="S63" s="26" t="inlineStr">
        <is>
          <t>https://bulbapedia.bulbagarden.net/wiki/Marill_(TCG)</t>
        </is>
      </c>
    </row>
    <row r="64">
      <c r="A64" s="26" t="n">
        <v>63</v>
      </c>
      <c r="B64" s="26" t="inlineStr">
        <is>
          <t>Marill</t>
        </is>
      </c>
      <c r="C64" s="26" t="inlineStr">
        <is>
          <t>Marill</t>
        </is>
      </c>
      <c r="D64" s="26" t="inlineStr">
        <is>
          <t>Japanese</t>
        </is>
      </c>
      <c r="E64" s="26" t="inlineStr">
        <is>
          <t>Japan</t>
        </is>
      </c>
      <c r="F64" s="26" t="inlineStr">
        <is>
          <t>Freeze Bolt</t>
        </is>
      </c>
      <c r="G64" s="26" t="inlineStr">
        <is>
          <t>015/059</t>
        </is>
      </c>
      <c r="H64" s="26" t="inlineStr">
        <is>
          <t>1st Edition</t>
        </is>
      </c>
      <c r="I64" s="26" t="inlineStr">
        <is>
          <t>1st Edition</t>
        </is>
      </c>
      <c r="J64" s="26" t="n"/>
      <c r="K64" s="26" t="inlineStr">
        <is>
          <t>Out of print</t>
        </is>
      </c>
      <c r="L64" s="26" t="inlineStr">
        <is>
          <t>Buy the Japanese single. Use eBay/Cardmarket or Mercari/Yahoo Japan through a proxy; bundle proxy orders.</t>
        </is>
      </c>
      <c r="M64" s="26" t="inlineStr">
        <is>
          <t>Marill 015/059 Freeze Bolt Japanese 1st Edition</t>
        </is>
      </c>
      <c r="N64" s="26" t="inlineStr">
        <is>
          <t>Medium</t>
        </is>
      </c>
      <c r="O64" s="26" t="inlineStr">
        <is>
          <t>NEED</t>
        </is>
      </c>
      <c r="P64" s="26" t="n">
        <v>0</v>
      </c>
      <c r="Q64" s="26" t="n"/>
      <c r="R64" s="26" t="inlineStr">
        <is>
          <t>StableKey=AZF-063</t>
        </is>
      </c>
      <c r="S64" s="26" t="inlineStr">
        <is>
          <t>https://bulbapedia.bulbagarden.net/wiki/Marill_(TCG)</t>
        </is>
      </c>
    </row>
    <row r="65">
      <c r="A65" s="26" t="n">
        <v>64</v>
      </c>
      <c r="B65" s="26" t="inlineStr">
        <is>
          <t>Marill</t>
        </is>
      </c>
      <c r="C65" s="26" t="inlineStr">
        <is>
          <t>Marill</t>
        </is>
      </c>
      <c r="D65" s="26" t="inlineStr">
        <is>
          <t>Japanese</t>
        </is>
      </c>
      <c r="E65" s="26" t="inlineStr">
        <is>
          <t>Japan</t>
        </is>
      </c>
      <c r="F65" s="26" t="inlineStr">
        <is>
          <t>Freeze Bolt</t>
        </is>
      </c>
      <c r="G65" s="26" t="inlineStr">
        <is>
          <t>015/059</t>
        </is>
      </c>
      <c r="H65" s="26" t="inlineStr">
        <is>
          <t>Unlimited</t>
        </is>
      </c>
      <c r="I65" s="26" t="inlineStr">
        <is>
          <t>Unlimited</t>
        </is>
      </c>
      <c r="J65" s="26" t="n"/>
      <c r="K65" s="26" t="inlineStr">
        <is>
          <t>Out of print</t>
        </is>
      </c>
      <c r="L65" s="26" t="inlineStr">
        <is>
          <t>Buy the Japanese single. Use eBay/Cardmarket or Mercari/Yahoo Japan through a proxy; bundle proxy orders.</t>
        </is>
      </c>
      <c r="M65" s="26" t="inlineStr">
        <is>
          <t>Marill 015/059 Freeze Bolt Japanese Unlimited</t>
        </is>
      </c>
      <c r="N65" s="26" t="inlineStr">
        <is>
          <t>Medium</t>
        </is>
      </c>
      <c r="O65" s="26" t="inlineStr">
        <is>
          <t>NEED</t>
        </is>
      </c>
      <c r="P65" s="26" t="n">
        <v>0</v>
      </c>
      <c r="Q65" s="26" t="n"/>
      <c r="R65" s="26" t="inlineStr">
        <is>
          <t>StableKey=AZF-064</t>
        </is>
      </c>
      <c r="S65" s="26" t="inlineStr">
        <is>
          <t>https://bulbapedia.bulbagarden.net/wiki/Marill_(TCG)</t>
        </is>
      </c>
    </row>
    <row r="66">
      <c r="A66" s="26" t="n">
        <v>65</v>
      </c>
      <c r="B66" s="26" t="inlineStr">
        <is>
          <t>Marill</t>
        </is>
      </c>
      <c r="C66" s="26" t="inlineStr">
        <is>
          <t>Marill</t>
        </is>
      </c>
      <c r="D66" s="26" t="inlineStr">
        <is>
          <t>English</t>
        </is>
      </c>
      <c r="E66" s="26" t="inlineStr">
        <is>
          <t>International</t>
        </is>
      </c>
      <c r="F66" s="26" t="inlineStr">
        <is>
          <t>Primal Clash</t>
        </is>
      </c>
      <c r="G66" s="26" t="inlineStr">
        <is>
          <t>102/160</t>
        </is>
      </c>
      <c r="H66" s="26" t="inlineStr">
        <is>
          <t>Standard</t>
        </is>
      </c>
      <c r="I66" s="26" t="n"/>
      <c r="J66" s="26" t="n"/>
      <c r="K66" s="26" t="inlineStr">
        <is>
          <t>Out of print</t>
        </is>
      </c>
      <c r="L66" s="26" t="inlineStr">
        <is>
          <t>Buy the single. Start with TCGplayer/eBay or a local card show; bundle cheap cards from one seller.</t>
        </is>
      </c>
      <c r="M66" s="26" t="inlineStr">
        <is>
          <t>Marill 102/160 Primal Clash English Standard</t>
        </is>
      </c>
      <c r="N66" s="26" t="inlineStr">
        <is>
          <t>Easy</t>
        </is>
      </c>
      <c r="O66" s="26" t="inlineStr">
        <is>
          <t>NEED</t>
        </is>
      </c>
      <c r="P66" s="26" t="n">
        <v>0</v>
      </c>
      <c r="Q66" s="26" t="n"/>
      <c r="R66" s="26" t="inlineStr">
        <is>
          <t>add official reverse/holo counterpart if issued; add official reverse/holo counterpart if issued; add official reverse/holo counterpart if issued; StableKey=AZF-065</t>
        </is>
      </c>
      <c r="S66" s="26" t="inlineStr">
        <is>
          <t>https://bulbapedia.bulbagarden.net/wiki/Marill_(TCG)</t>
        </is>
      </c>
    </row>
    <row r="67">
      <c r="A67" s="26" t="n">
        <v>66</v>
      </c>
      <c r="B67" s="26" t="inlineStr">
        <is>
          <t>Marill</t>
        </is>
      </c>
      <c r="C67" s="26" t="inlineStr">
        <is>
          <t>Marill</t>
        </is>
      </c>
      <c r="D67" s="26" t="inlineStr">
        <is>
          <t>English</t>
        </is>
      </c>
      <c r="E67" s="26" t="inlineStr">
        <is>
          <t>International</t>
        </is>
      </c>
      <c r="F67" s="26" t="inlineStr">
        <is>
          <t>Primal Clash</t>
        </is>
      </c>
      <c r="G67" s="26" t="inlineStr">
        <is>
          <t>102/160</t>
        </is>
      </c>
      <c r="H67" s="26" t="inlineStr">
        <is>
          <t>Reverse Holo</t>
        </is>
      </c>
      <c r="I67" s="26" t="inlineStr">
        <is>
          <t>Reverse Holo</t>
        </is>
      </c>
      <c r="J67" s="26" t="n"/>
      <c r="K67" s="26" t="inlineStr">
        <is>
          <t>Out of print</t>
        </is>
      </c>
      <c r="L67" s="26" t="inlineStr">
        <is>
          <t>Buy the single. Start with TCGplayer/eBay or a local card show; bundle cheap cards from one seller.</t>
        </is>
      </c>
      <c r="M67" s="26" t="inlineStr">
        <is>
          <t>Marill 102/160 Primal Clash English Reverse Holo</t>
        </is>
      </c>
      <c r="N67" s="26" t="inlineStr">
        <is>
          <t>Easy</t>
        </is>
      </c>
      <c r="O67" s="26" t="inlineStr">
        <is>
          <t>NEED</t>
        </is>
      </c>
      <c r="P67" s="26" t="n">
        <v>0</v>
      </c>
      <c r="Q67" s="26" t="n"/>
      <c r="R67" s="26" t="inlineStr">
        <is>
          <t>add official reverse/holo counterpart if issued; add official reverse/holo counterpart if issued; add official reverse/holo counterpart if issued; StableKey=AZF-066</t>
        </is>
      </c>
      <c r="S67" s="26" t="inlineStr">
        <is>
          <t>https://bulbapedia.bulbagarden.net/wiki/Marill_(TCG)</t>
        </is>
      </c>
    </row>
    <row r="68">
      <c r="A68" s="26" t="n">
        <v>67</v>
      </c>
      <c r="B68" s="26" t="inlineStr">
        <is>
          <t>Marill</t>
        </is>
      </c>
      <c r="C68" s="26" t="inlineStr">
        <is>
          <t>Marill</t>
        </is>
      </c>
      <c r="D68" s="26" t="inlineStr">
        <is>
          <t>Spanish</t>
        </is>
      </c>
      <c r="E68" s="26" t="inlineStr">
        <is>
          <t>International</t>
        </is>
      </c>
      <c r="F68" s="26" t="inlineStr">
        <is>
          <t>Primal Clash</t>
        </is>
      </c>
      <c r="G68" s="26" t="inlineStr">
        <is>
          <t>102/160</t>
        </is>
      </c>
      <c r="H68" s="26" t="inlineStr">
        <is>
          <t>Standard</t>
        </is>
      </c>
      <c r="I68" s="26" t="n"/>
      <c r="J68" s="26" t="n"/>
      <c r="K68" s="26" t="inlineStr">
        <is>
          <t>Out of print</t>
        </is>
      </c>
      <c r="L68" s="26" t="inlineStr">
        <is>
          <t>Buy the Spanish single. Cardmarket/eBay are usually best; filter Language = Spanish and bundle orders.</t>
        </is>
      </c>
      <c r="M68" s="26" t="inlineStr">
        <is>
          <t>Marill 102/160 Primal Clash Spanish Standard</t>
        </is>
      </c>
      <c r="N68" s="26" t="inlineStr">
        <is>
          <t>Medium</t>
        </is>
      </c>
      <c r="O68" s="26" t="inlineStr">
        <is>
          <t>NEED</t>
        </is>
      </c>
      <c r="P68" s="26" t="n">
        <v>0</v>
      </c>
      <c r="Q68" s="26" t="n"/>
      <c r="R68" s="26" t="inlineStr">
        <is>
          <t>add official reverse/holo counterpart if issued; add official reverse/holo counterpart if issued; add official reverse/holo counterpart if issued; StableKey=AZF-067</t>
        </is>
      </c>
      <c r="S68" s="26" t="inlineStr">
        <is>
          <t>https://bulbapedia.bulbagarden.net/wiki/Marill_(TCG)</t>
        </is>
      </c>
    </row>
    <row r="69">
      <c r="A69" s="26" t="n">
        <v>68</v>
      </c>
      <c r="B69" s="26" t="inlineStr">
        <is>
          <t>Marill</t>
        </is>
      </c>
      <c r="C69" s="26" t="inlineStr">
        <is>
          <t>Marill</t>
        </is>
      </c>
      <c r="D69" s="26" t="inlineStr">
        <is>
          <t>Spanish</t>
        </is>
      </c>
      <c r="E69" s="26" t="inlineStr">
        <is>
          <t>International</t>
        </is>
      </c>
      <c r="F69" s="26" t="inlineStr">
        <is>
          <t>Primal Clash</t>
        </is>
      </c>
      <c r="G69" s="26" t="inlineStr">
        <is>
          <t>102/160</t>
        </is>
      </c>
      <c r="H69" s="26" t="inlineStr">
        <is>
          <t>Reverse Holo</t>
        </is>
      </c>
      <c r="I69" s="26" t="inlineStr">
        <is>
          <t>Reverse Holo</t>
        </is>
      </c>
      <c r="J69" s="26" t="n"/>
      <c r="K69" s="26" t="inlineStr">
        <is>
          <t>Out of print</t>
        </is>
      </c>
      <c r="L69" s="26" t="inlineStr">
        <is>
          <t>Buy the Spanish single. Cardmarket/eBay are usually best; filter Language = Spanish and bundle orders.</t>
        </is>
      </c>
      <c r="M69" s="26" t="inlineStr">
        <is>
          <t>Marill 102/160 Primal Clash Spanish Reverse Holo</t>
        </is>
      </c>
      <c r="N69" s="26" t="inlineStr">
        <is>
          <t>Medium</t>
        </is>
      </c>
      <c r="O69" s="26" t="inlineStr">
        <is>
          <t>NEED</t>
        </is>
      </c>
      <c r="P69" s="26" t="n">
        <v>0</v>
      </c>
      <c r="Q69" s="26" t="n"/>
      <c r="R69" s="26" t="inlineStr">
        <is>
          <t>add official reverse/holo counterpart if issued; add official reverse/holo counterpart if issued; add official reverse/holo counterpart if issued; StableKey=AZF-068</t>
        </is>
      </c>
      <c r="S69" s="26" t="inlineStr">
        <is>
          <t>https://bulbapedia.bulbagarden.net/wiki/Marill_(TCG)</t>
        </is>
      </c>
    </row>
    <row r="70">
      <c r="A70" s="26" t="n">
        <v>69</v>
      </c>
      <c r="B70" s="26" t="inlineStr">
        <is>
          <t>Marill</t>
        </is>
      </c>
      <c r="C70" s="26" t="inlineStr">
        <is>
          <t>Marill</t>
        </is>
      </c>
      <c r="D70" s="26" t="inlineStr">
        <is>
          <t>Japanese</t>
        </is>
      </c>
      <c r="E70" s="26" t="inlineStr">
        <is>
          <t>Japan</t>
        </is>
      </c>
      <c r="F70" s="26" t="inlineStr">
        <is>
          <t>Tidal Storm</t>
        </is>
      </c>
      <c r="G70" s="26" t="inlineStr">
        <is>
          <t>047/070</t>
        </is>
      </c>
      <c r="H70" s="26" t="inlineStr">
        <is>
          <t>1st Edition</t>
        </is>
      </c>
      <c r="I70" s="26" t="inlineStr">
        <is>
          <t>1st Edition</t>
        </is>
      </c>
      <c r="J70" s="26" t="n"/>
      <c r="K70" s="26" t="inlineStr">
        <is>
          <t>Out of print</t>
        </is>
      </c>
      <c r="L70" s="26" t="inlineStr">
        <is>
          <t>Buy the Japanese single. Use eBay/Cardmarket or Mercari/Yahoo Japan through a proxy; bundle proxy orders.</t>
        </is>
      </c>
      <c r="M70" s="26" t="inlineStr">
        <is>
          <t>Marill 047/070 Tidal Storm Japanese 1st Edition</t>
        </is>
      </c>
      <c r="N70" s="26" t="inlineStr">
        <is>
          <t>Medium</t>
        </is>
      </c>
      <c r="O70" s="26" t="inlineStr">
        <is>
          <t>NEED</t>
        </is>
      </c>
      <c r="P70" s="26" t="n">
        <v>0</v>
      </c>
      <c r="Q70" s="26" t="n"/>
      <c r="R70" s="26" t="inlineStr">
        <is>
          <t>StableKey=AZF-069</t>
        </is>
      </c>
      <c r="S70" s="26" t="inlineStr">
        <is>
          <t>https://bulbapedia.bulbagarden.net/wiki/Marill_(TCG)</t>
        </is>
      </c>
    </row>
    <row r="71">
      <c r="A71" s="26" t="n">
        <v>70</v>
      </c>
      <c r="B71" s="26" t="inlineStr">
        <is>
          <t>Marill</t>
        </is>
      </c>
      <c r="C71" s="26" t="inlineStr">
        <is>
          <t>Marill</t>
        </is>
      </c>
      <c r="D71" s="26" t="inlineStr">
        <is>
          <t>Japanese</t>
        </is>
      </c>
      <c r="E71" s="26" t="inlineStr">
        <is>
          <t>Japan</t>
        </is>
      </c>
      <c r="F71" s="26" t="inlineStr">
        <is>
          <t>Tidal Storm</t>
        </is>
      </c>
      <c r="G71" s="26" t="inlineStr">
        <is>
          <t>047/070</t>
        </is>
      </c>
      <c r="H71" s="26" t="inlineStr">
        <is>
          <t>Unlimited</t>
        </is>
      </c>
      <c r="I71" s="26" t="inlineStr">
        <is>
          <t>Unlimited</t>
        </is>
      </c>
      <c r="J71" s="26" t="n"/>
      <c r="K71" s="26" t="inlineStr">
        <is>
          <t>Out of print</t>
        </is>
      </c>
      <c r="L71" s="26" t="inlineStr">
        <is>
          <t>Buy the Japanese single. Use eBay/Cardmarket or Mercari/Yahoo Japan through a proxy; bundle proxy orders.</t>
        </is>
      </c>
      <c r="M71" s="26" t="inlineStr">
        <is>
          <t>Marill 047/070 Tidal Storm Japanese Unlimited</t>
        </is>
      </c>
      <c r="N71" s="26" t="inlineStr">
        <is>
          <t>Medium</t>
        </is>
      </c>
      <c r="O71" s="26" t="inlineStr">
        <is>
          <t>NEED</t>
        </is>
      </c>
      <c r="P71" s="26" t="n">
        <v>0</v>
      </c>
      <c r="Q71" s="26" t="n"/>
      <c r="R71" s="26" t="inlineStr">
        <is>
          <t>StableKey=AZF-070</t>
        </is>
      </c>
      <c r="S71" s="26" t="inlineStr">
        <is>
          <t>https://bulbapedia.bulbagarden.net/wiki/Marill_(TCG)</t>
        </is>
      </c>
    </row>
    <row r="72">
      <c r="A72" s="26" t="n">
        <v>71</v>
      </c>
      <c r="B72" s="26" t="inlineStr">
        <is>
          <t>Marill</t>
        </is>
      </c>
      <c r="C72" s="26" t="inlineStr">
        <is>
          <t>Marill</t>
        </is>
      </c>
      <c r="D72" s="26" t="inlineStr">
        <is>
          <t>English</t>
        </is>
      </c>
      <c r="E72" s="26" t="inlineStr">
        <is>
          <t>International</t>
        </is>
      </c>
      <c r="F72" s="26" t="inlineStr">
        <is>
          <t>Steam Siege</t>
        </is>
      </c>
      <c r="G72" s="26" t="inlineStr">
        <is>
          <t>76/114</t>
        </is>
      </c>
      <c r="H72" s="26" t="inlineStr">
        <is>
          <t>Standard</t>
        </is>
      </c>
      <c r="I72" s="26" t="n"/>
      <c r="J72" s="26" t="n"/>
      <c r="K72" s="26" t="inlineStr">
        <is>
          <t>Out of print</t>
        </is>
      </c>
      <c r="L72" s="26" t="inlineStr">
        <is>
          <t>Buy the single. Start with TCGplayer/eBay or a local card show; bundle cheap cards from one seller.</t>
        </is>
      </c>
      <c r="M72" s="26" t="inlineStr">
        <is>
          <t>Marill 76/114 Steam Siege English Standard</t>
        </is>
      </c>
      <c r="N72" s="26" t="inlineStr">
        <is>
          <t>Easy</t>
        </is>
      </c>
      <c r="O72" s="26" t="inlineStr">
        <is>
          <t>NEED</t>
        </is>
      </c>
      <c r="P72" s="26" t="n">
        <v>0</v>
      </c>
      <c r="Q72" s="26" t="n"/>
      <c r="R72" s="26" t="inlineStr">
        <is>
          <t>add official reverse/holo counterpart if issued; add official reverse/holo counterpart if issued; add official reverse/holo counterpart if issued; StableKey=AZF-071</t>
        </is>
      </c>
      <c r="S72" s="26" t="inlineStr">
        <is>
          <t>https://bulbapedia.bulbagarden.net/wiki/Marill_(TCG)</t>
        </is>
      </c>
    </row>
    <row r="73">
      <c r="A73" s="26" t="n">
        <v>72</v>
      </c>
      <c r="B73" s="26" t="inlineStr">
        <is>
          <t>Marill</t>
        </is>
      </c>
      <c r="C73" s="26" t="inlineStr">
        <is>
          <t>Marill</t>
        </is>
      </c>
      <c r="D73" s="26" t="inlineStr">
        <is>
          <t>English</t>
        </is>
      </c>
      <c r="E73" s="26" t="inlineStr">
        <is>
          <t>International</t>
        </is>
      </c>
      <c r="F73" s="26" t="inlineStr">
        <is>
          <t>Steam Siege</t>
        </is>
      </c>
      <c r="G73" s="26" t="inlineStr">
        <is>
          <t>76/114</t>
        </is>
      </c>
      <c r="H73" s="26" t="inlineStr">
        <is>
          <t>Reverse Holo</t>
        </is>
      </c>
      <c r="I73" s="26" t="inlineStr">
        <is>
          <t>Reverse Holo</t>
        </is>
      </c>
      <c r="J73" s="26" t="n"/>
      <c r="K73" s="26" t="inlineStr">
        <is>
          <t>Out of print</t>
        </is>
      </c>
      <c r="L73" s="26" t="inlineStr">
        <is>
          <t>Buy the single. Start with TCGplayer/eBay or a local card show; bundle cheap cards from one seller.</t>
        </is>
      </c>
      <c r="M73" s="26" t="inlineStr">
        <is>
          <t>Marill 76/114 Steam Siege English Reverse Holo</t>
        </is>
      </c>
      <c r="N73" s="26" t="inlineStr">
        <is>
          <t>Easy</t>
        </is>
      </c>
      <c r="O73" s="26" t="inlineStr">
        <is>
          <t>NEED</t>
        </is>
      </c>
      <c r="P73" s="26" t="n">
        <v>0</v>
      </c>
      <c r="Q73" s="26" t="n"/>
      <c r="R73" s="26" t="inlineStr">
        <is>
          <t>add official reverse/holo counterpart if issued; add official reverse/holo counterpart if issued; add official reverse/holo counterpart if issued; StableKey=AZF-072</t>
        </is>
      </c>
      <c r="S73" s="26" t="inlineStr">
        <is>
          <t>https://bulbapedia.bulbagarden.net/wiki/Marill_(TCG)</t>
        </is>
      </c>
    </row>
    <row r="74">
      <c r="A74" s="26" t="n">
        <v>73</v>
      </c>
      <c r="B74" s="26" t="inlineStr">
        <is>
          <t>Marill</t>
        </is>
      </c>
      <c r="C74" s="26" t="inlineStr">
        <is>
          <t>Marill</t>
        </is>
      </c>
      <c r="D74" s="26" t="inlineStr">
        <is>
          <t>Spanish</t>
        </is>
      </c>
      <c r="E74" s="26" t="inlineStr">
        <is>
          <t>International</t>
        </is>
      </c>
      <c r="F74" s="26" t="inlineStr">
        <is>
          <t>Steam Siege</t>
        </is>
      </c>
      <c r="G74" s="26" t="inlineStr">
        <is>
          <t>76/114</t>
        </is>
      </c>
      <c r="H74" s="26" t="inlineStr">
        <is>
          <t>Standard</t>
        </is>
      </c>
      <c r="I74" s="26" t="n"/>
      <c r="J74" s="26" t="n"/>
      <c r="K74" s="26" t="inlineStr">
        <is>
          <t>Out of print</t>
        </is>
      </c>
      <c r="L74" s="26" t="inlineStr">
        <is>
          <t>Buy the Spanish single. Cardmarket/eBay are usually best; filter Language = Spanish and bundle orders.</t>
        </is>
      </c>
      <c r="M74" s="26" t="inlineStr">
        <is>
          <t>Marill 76/114 Steam Siege Spanish Standard</t>
        </is>
      </c>
      <c r="N74" s="26" t="inlineStr">
        <is>
          <t>Medium</t>
        </is>
      </c>
      <c r="O74" s="26" t="inlineStr">
        <is>
          <t>NEED</t>
        </is>
      </c>
      <c r="P74" s="26" t="n">
        <v>0</v>
      </c>
      <c r="Q74" s="26" t="n"/>
      <c r="R74" s="26" t="inlineStr">
        <is>
          <t>add official reverse/holo counterpart if issued; add official reverse/holo counterpart if issued; add official reverse/holo counterpart if issued; StableKey=AZF-073</t>
        </is>
      </c>
      <c r="S74" s="26" t="inlineStr">
        <is>
          <t>https://bulbapedia.bulbagarden.net/wiki/Marill_(TCG)</t>
        </is>
      </c>
    </row>
    <row r="75">
      <c r="A75" s="26" t="n">
        <v>74</v>
      </c>
      <c r="B75" s="26" t="inlineStr">
        <is>
          <t>Marill</t>
        </is>
      </c>
      <c r="C75" s="26" t="inlineStr">
        <is>
          <t>Marill</t>
        </is>
      </c>
      <c r="D75" s="26" t="inlineStr">
        <is>
          <t>Spanish</t>
        </is>
      </c>
      <c r="E75" s="26" t="inlineStr">
        <is>
          <t>International</t>
        </is>
      </c>
      <c r="F75" s="26" t="inlineStr">
        <is>
          <t>Steam Siege</t>
        </is>
      </c>
      <c r="G75" s="26" t="inlineStr">
        <is>
          <t>76/114</t>
        </is>
      </c>
      <c r="H75" s="26" t="inlineStr">
        <is>
          <t>Reverse Holo</t>
        </is>
      </c>
      <c r="I75" s="26" t="inlineStr">
        <is>
          <t>Reverse Holo</t>
        </is>
      </c>
      <c r="J75" s="26" t="n"/>
      <c r="K75" s="26" t="inlineStr">
        <is>
          <t>Out of print</t>
        </is>
      </c>
      <c r="L75" s="26" t="inlineStr">
        <is>
          <t>Buy the Spanish single. Cardmarket/eBay are usually best; filter Language = Spanish and bundle orders.</t>
        </is>
      </c>
      <c r="M75" s="26" t="inlineStr">
        <is>
          <t>Marill 76/114 Steam Siege Spanish Reverse Holo</t>
        </is>
      </c>
      <c r="N75" s="26" t="inlineStr">
        <is>
          <t>Medium</t>
        </is>
      </c>
      <c r="O75" s="26" t="inlineStr">
        <is>
          <t>NEED</t>
        </is>
      </c>
      <c r="P75" s="26" t="n">
        <v>0</v>
      </c>
      <c r="Q75" s="26" t="n"/>
      <c r="R75" s="26" t="inlineStr">
        <is>
          <t>add official reverse/holo counterpart if issued; add official reverse/holo counterpart if issued; add official reverse/holo counterpart if issued; StableKey=AZF-074</t>
        </is>
      </c>
      <c r="S75" s="26" t="inlineStr">
        <is>
          <t>https://bulbapedia.bulbagarden.net/wiki/Marill_(TCG)</t>
        </is>
      </c>
    </row>
    <row r="76">
      <c r="A76" s="26" t="n">
        <v>75</v>
      </c>
      <c r="B76" s="26" t="inlineStr">
        <is>
          <t>Marill</t>
        </is>
      </c>
      <c r="C76" s="26" t="inlineStr">
        <is>
          <t>Marill</t>
        </is>
      </c>
      <c r="D76" s="26" t="inlineStr">
        <is>
          <t>Japanese</t>
        </is>
      </c>
      <c r="E76" s="26" t="inlineStr">
        <is>
          <t>Japan</t>
        </is>
      </c>
      <c r="F76" s="26" t="inlineStr">
        <is>
          <t>Cruel Traitor</t>
        </is>
      </c>
      <c r="G76" s="26" t="inlineStr">
        <is>
          <t>036/054</t>
        </is>
      </c>
      <c r="H76" s="26" t="inlineStr">
        <is>
          <t>1st Edition</t>
        </is>
      </c>
      <c r="I76" s="26" t="inlineStr">
        <is>
          <t>1st Edition</t>
        </is>
      </c>
      <c r="J76" s="26" t="n"/>
      <c r="K76" s="26" t="inlineStr">
        <is>
          <t>Out of print</t>
        </is>
      </c>
      <c r="L76" s="26" t="inlineStr">
        <is>
          <t>Buy the Japanese single. Use eBay/Cardmarket or Mercari/Yahoo Japan through a proxy; bundle proxy orders.</t>
        </is>
      </c>
      <c r="M76" s="26" t="inlineStr">
        <is>
          <t>Marill 036/054 Cruel Traitor Japanese 1st Edition</t>
        </is>
      </c>
      <c r="N76" s="26" t="inlineStr">
        <is>
          <t>Medium</t>
        </is>
      </c>
      <c r="O76" s="26" t="inlineStr">
        <is>
          <t>NEED</t>
        </is>
      </c>
      <c r="P76" s="26" t="n">
        <v>0</v>
      </c>
      <c r="Q76" s="26" t="n"/>
      <c r="R76" s="26" t="inlineStr">
        <is>
          <t>StableKey=AZF-075</t>
        </is>
      </c>
      <c r="S76" s="26" t="inlineStr">
        <is>
          <t>https://bulbapedia.bulbagarden.net/wiki/Marill_(TCG)</t>
        </is>
      </c>
    </row>
    <row r="77">
      <c r="A77" s="26" t="n">
        <v>76</v>
      </c>
      <c r="B77" s="26" t="inlineStr">
        <is>
          <t>Marill</t>
        </is>
      </c>
      <c r="C77" s="26" t="inlineStr">
        <is>
          <t>Marill</t>
        </is>
      </c>
      <c r="D77" s="26" t="inlineStr">
        <is>
          <t>Japanese</t>
        </is>
      </c>
      <c r="E77" s="26" t="inlineStr">
        <is>
          <t>Japan</t>
        </is>
      </c>
      <c r="F77" s="26" t="inlineStr">
        <is>
          <t>Cruel Traitor</t>
        </is>
      </c>
      <c r="G77" s="26" t="inlineStr">
        <is>
          <t>036/054</t>
        </is>
      </c>
      <c r="H77" s="26" t="inlineStr">
        <is>
          <t>Unlimited</t>
        </is>
      </c>
      <c r="I77" s="26" t="inlineStr">
        <is>
          <t>Unlimited</t>
        </is>
      </c>
      <c r="J77" s="26" t="n"/>
      <c r="K77" s="26" t="inlineStr">
        <is>
          <t>Out of print</t>
        </is>
      </c>
      <c r="L77" s="26" t="inlineStr">
        <is>
          <t>Buy the Japanese single. Use eBay/Cardmarket or Mercari/Yahoo Japan through a proxy; bundle proxy orders.</t>
        </is>
      </c>
      <c r="M77" s="26" t="inlineStr">
        <is>
          <t>Marill 036/054 Cruel Traitor Japanese Unlimited</t>
        </is>
      </c>
      <c r="N77" s="26" t="inlineStr">
        <is>
          <t>Medium</t>
        </is>
      </c>
      <c r="O77" s="26" t="inlineStr">
        <is>
          <t>NEED</t>
        </is>
      </c>
      <c r="P77" s="26" t="n">
        <v>0</v>
      </c>
      <c r="Q77" s="26" t="n"/>
      <c r="R77" s="26" t="inlineStr">
        <is>
          <t>StableKey=AZF-076</t>
        </is>
      </c>
      <c r="S77" s="26" t="inlineStr">
        <is>
          <t>https://bulbapedia.bulbagarden.net/wiki/Marill_(TCG)</t>
        </is>
      </c>
    </row>
    <row r="78">
      <c r="A78" s="26" t="n">
        <v>77</v>
      </c>
      <c r="B78" s="26" t="inlineStr">
        <is>
          <t>Marill</t>
        </is>
      </c>
      <c r="C78" s="26" t="inlineStr">
        <is>
          <t>Marill</t>
        </is>
      </c>
      <c r="D78" s="26" t="inlineStr">
        <is>
          <t>English</t>
        </is>
      </c>
      <c r="E78" s="26" t="inlineStr">
        <is>
          <t>International</t>
        </is>
      </c>
      <c r="F78" s="26" t="inlineStr">
        <is>
          <t>Burning Shadows</t>
        </is>
      </c>
      <c r="G78" s="26" t="inlineStr">
        <is>
          <t>34/147</t>
        </is>
      </c>
      <c r="H78" s="26" t="inlineStr">
        <is>
          <t>Standard</t>
        </is>
      </c>
      <c r="I78" s="26" t="n"/>
      <c r="J78" s="26" t="inlineStr">
        <is>
          <t>Asako Ito</t>
        </is>
      </c>
      <c r="K78" s="26" t="inlineStr">
        <is>
          <t>Out of print</t>
        </is>
      </c>
      <c r="L78" s="26" t="inlineStr">
        <is>
          <t>Buy the single. Start with TCGplayer/eBay or a local card show; bundle cheap cards from one seller.</t>
        </is>
      </c>
      <c r="M78" s="26" t="inlineStr">
        <is>
          <t>Marill 34/147 Burning Shadows English Standard</t>
        </is>
      </c>
      <c r="N78" s="26" t="inlineStr">
        <is>
          <t>Easy</t>
        </is>
      </c>
      <c r="O78" s="26" t="inlineStr">
        <is>
          <t>NEED</t>
        </is>
      </c>
      <c r="P78" s="26" t="n">
        <v>0</v>
      </c>
      <c r="Q78" s="26" t="n"/>
      <c r="R78" s="26" t="inlineStr">
        <is>
          <t>add official reverse/holo counterpart if issued; add official reverse/holo counterpart if issued; add official reverse/holo counterpart if issued; StableKey=AZF-077</t>
        </is>
      </c>
      <c r="S78" s="26" t="inlineStr">
        <is>
          <t>https://bulbapedia.bulbagarden.net/wiki/Marill_(TCG)</t>
        </is>
      </c>
    </row>
    <row r="79">
      <c r="A79" s="26" t="n">
        <v>78</v>
      </c>
      <c r="B79" s="26" t="inlineStr">
        <is>
          <t>Marill</t>
        </is>
      </c>
      <c r="C79" s="26" t="inlineStr">
        <is>
          <t>Marill</t>
        </is>
      </c>
      <c r="D79" s="26" t="inlineStr">
        <is>
          <t>English</t>
        </is>
      </c>
      <c r="E79" s="26" t="inlineStr">
        <is>
          <t>International</t>
        </is>
      </c>
      <c r="F79" s="26" t="inlineStr">
        <is>
          <t>Burning Shadows</t>
        </is>
      </c>
      <c r="G79" s="26" t="inlineStr">
        <is>
          <t>34/147</t>
        </is>
      </c>
      <c r="H79" s="26" t="inlineStr">
        <is>
          <t>Reverse Holo</t>
        </is>
      </c>
      <c r="I79" s="26" t="inlineStr">
        <is>
          <t>Reverse Holo</t>
        </is>
      </c>
      <c r="J79" s="26" t="inlineStr">
        <is>
          <t>Asako Ito</t>
        </is>
      </c>
      <c r="K79" s="26" t="inlineStr">
        <is>
          <t>Out of print</t>
        </is>
      </c>
      <c r="L79" s="26" t="inlineStr">
        <is>
          <t>Buy the single. Start with TCGplayer/eBay or a local card show; bundle cheap cards from one seller.</t>
        </is>
      </c>
      <c r="M79" s="26" t="inlineStr">
        <is>
          <t>Marill 34/147 Burning Shadows English Reverse Holo</t>
        </is>
      </c>
      <c r="N79" s="26" t="inlineStr">
        <is>
          <t>Easy</t>
        </is>
      </c>
      <c r="O79" s="26" t="inlineStr">
        <is>
          <t>NEED</t>
        </is>
      </c>
      <c r="P79" s="26" t="n">
        <v>0</v>
      </c>
      <c r="Q79" s="26" t="n"/>
      <c r="R79" s="26" t="inlineStr">
        <is>
          <t>add official reverse/holo counterpart if issued; add official reverse/holo counterpart if issued; add official reverse/holo counterpart if issued; StableKey=AZF-078</t>
        </is>
      </c>
      <c r="S79" s="26" t="inlineStr">
        <is>
          <t>https://bulbapedia.bulbagarden.net/wiki/Marill_(TCG)</t>
        </is>
      </c>
    </row>
    <row r="80">
      <c r="A80" s="26" t="n">
        <v>79</v>
      </c>
      <c r="B80" s="26" t="inlineStr">
        <is>
          <t>Marill</t>
        </is>
      </c>
      <c r="C80" s="26" t="inlineStr">
        <is>
          <t>Marill</t>
        </is>
      </c>
      <c r="D80" s="26" t="inlineStr">
        <is>
          <t>Spanish</t>
        </is>
      </c>
      <c r="E80" s="26" t="inlineStr">
        <is>
          <t>International</t>
        </is>
      </c>
      <c r="F80" s="26" t="inlineStr">
        <is>
          <t>Burning Shadows</t>
        </is>
      </c>
      <c r="G80" s="26" t="inlineStr">
        <is>
          <t>34/147</t>
        </is>
      </c>
      <c r="H80" s="26" t="inlineStr">
        <is>
          <t>Standard</t>
        </is>
      </c>
      <c r="I80" s="26" t="n"/>
      <c r="J80" s="26" t="inlineStr">
        <is>
          <t>Asako Ito</t>
        </is>
      </c>
      <c r="K80" s="26" t="inlineStr">
        <is>
          <t>Out of print</t>
        </is>
      </c>
      <c r="L80" s="26" t="inlineStr">
        <is>
          <t>Buy the Spanish single. Cardmarket/eBay are usually best; filter Language = Spanish and bundle orders.</t>
        </is>
      </c>
      <c r="M80" s="26" t="inlineStr">
        <is>
          <t>Marill 34/147 Burning Shadows Spanish Standard</t>
        </is>
      </c>
      <c r="N80" s="26" t="inlineStr">
        <is>
          <t>Medium</t>
        </is>
      </c>
      <c r="O80" s="26" t="inlineStr">
        <is>
          <t>NEED</t>
        </is>
      </c>
      <c r="P80" s="26" t="n">
        <v>0</v>
      </c>
      <c r="Q80" s="26" t="n"/>
      <c r="R80" s="26" t="inlineStr">
        <is>
          <t>add official reverse/holo counterpart if issued; add official reverse/holo counterpart if issued; add official reverse/holo counterpart if issued; StableKey=AZF-079</t>
        </is>
      </c>
      <c r="S80" s="26" t="inlineStr">
        <is>
          <t>https://bulbapedia.bulbagarden.net/wiki/Marill_(TCG)</t>
        </is>
      </c>
    </row>
    <row r="81">
      <c r="A81" s="26" t="n">
        <v>80</v>
      </c>
      <c r="B81" s="26" t="inlineStr">
        <is>
          <t>Marill</t>
        </is>
      </c>
      <c r="C81" s="26" t="inlineStr">
        <is>
          <t>Marill</t>
        </is>
      </c>
      <c r="D81" s="26" t="inlineStr">
        <is>
          <t>Spanish</t>
        </is>
      </c>
      <c r="E81" s="26" t="inlineStr">
        <is>
          <t>International</t>
        </is>
      </c>
      <c r="F81" s="26" t="inlineStr">
        <is>
          <t>Burning Shadows</t>
        </is>
      </c>
      <c r="G81" s="26" t="inlineStr">
        <is>
          <t>34/147</t>
        </is>
      </c>
      <c r="H81" s="26" t="inlineStr">
        <is>
          <t>Reverse Holo</t>
        </is>
      </c>
      <c r="I81" s="26" t="inlineStr">
        <is>
          <t>Reverse Holo</t>
        </is>
      </c>
      <c r="J81" s="26" t="inlineStr">
        <is>
          <t>Asako Ito</t>
        </is>
      </c>
      <c r="K81" s="26" t="inlineStr">
        <is>
          <t>Out of print</t>
        </is>
      </c>
      <c r="L81" s="26" t="inlineStr">
        <is>
          <t>Buy the Spanish single. Cardmarket/eBay are usually best; filter Language = Spanish and bundle orders.</t>
        </is>
      </c>
      <c r="M81" s="26" t="inlineStr">
        <is>
          <t>Marill 34/147 Burning Shadows Spanish Reverse Holo</t>
        </is>
      </c>
      <c r="N81" s="26" t="inlineStr">
        <is>
          <t>Medium</t>
        </is>
      </c>
      <c r="O81" s="26" t="inlineStr">
        <is>
          <t>NEED</t>
        </is>
      </c>
      <c r="P81" s="26" t="n">
        <v>0</v>
      </c>
      <c r="Q81" s="26" t="n"/>
      <c r="R81" s="26" t="inlineStr">
        <is>
          <t>add official reverse/holo counterpart if issued; add official reverse/holo counterpart if issued; add official reverse/holo counterpart if issued; StableKey=AZF-080</t>
        </is>
      </c>
      <c r="S81" s="26" t="inlineStr">
        <is>
          <t>https://bulbapedia.bulbagarden.net/wiki/Marill_(TCG)</t>
        </is>
      </c>
    </row>
    <row r="82">
      <c r="A82" s="26" t="n">
        <v>81</v>
      </c>
      <c r="B82" s="26" t="inlineStr">
        <is>
          <t>Marill</t>
        </is>
      </c>
      <c r="C82" s="26" t="inlineStr">
        <is>
          <t>Marill</t>
        </is>
      </c>
      <c r="D82" s="26" t="inlineStr">
        <is>
          <t>Japanese</t>
        </is>
      </c>
      <c r="E82" s="26" t="inlineStr">
        <is>
          <t>Japan</t>
        </is>
      </c>
      <c r="F82" s="26" t="inlineStr">
        <is>
          <t>To Have Seen the Battle Rainbow</t>
        </is>
      </c>
      <c r="G82" s="26" t="inlineStr">
        <is>
          <t>019/051</t>
        </is>
      </c>
      <c r="H82" s="26" t="inlineStr">
        <is>
          <t>Standard</t>
        </is>
      </c>
      <c r="I82" s="26" t="n"/>
      <c r="J82" s="26" t="inlineStr">
        <is>
          <t>Asako Ito</t>
        </is>
      </c>
      <c r="K82" s="26" t="inlineStr">
        <is>
          <t>Out of print</t>
        </is>
      </c>
      <c r="L82" s="26" t="inlineStr">
        <is>
          <t>Buy the Japanese single. Use eBay/Cardmarket or Mercari/Yahoo Japan through a proxy; bundle proxy orders.</t>
        </is>
      </c>
      <c r="M82" s="26" t="inlineStr">
        <is>
          <t>Marill 019/051 To Have Seen the Battle Rainbow Japanese Standard</t>
        </is>
      </c>
      <c r="N82" s="26" t="inlineStr">
        <is>
          <t>Medium</t>
        </is>
      </c>
      <c r="O82" s="26" t="inlineStr">
        <is>
          <t>NEED</t>
        </is>
      </c>
      <c r="P82" s="26" t="n">
        <v>0</v>
      </c>
      <c r="Q82" s="26" t="n"/>
      <c r="R82" s="26" t="inlineStr">
        <is>
          <t>StableKey=AZF-081</t>
        </is>
      </c>
      <c r="S82" s="26" t="inlineStr">
        <is>
          <t>https://bulbapedia.bulbagarden.net/wiki/Marill_(TCG)</t>
        </is>
      </c>
    </row>
    <row r="83">
      <c r="A83" s="26" t="n">
        <v>82</v>
      </c>
      <c r="B83" s="26" t="inlineStr">
        <is>
          <t>Marill</t>
        </is>
      </c>
      <c r="C83" s="26" t="inlineStr">
        <is>
          <t>Marill</t>
        </is>
      </c>
      <c r="D83" s="26" t="inlineStr">
        <is>
          <t>English</t>
        </is>
      </c>
      <c r="E83" s="26" t="inlineStr">
        <is>
          <t>International</t>
        </is>
      </c>
      <c r="F83" s="26" t="inlineStr">
        <is>
          <t>Lost Thunder</t>
        </is>
      </c>
      <c r="G83" s="26" t="inlineStr">
        <is>
          <t>135/214</t>
        </is>
      </c>
      <c r="H83" s="26" t="inlineStr">
        <is>
          <t>Standard</t>
        </is>
      </c>
      <c r="I83" s="26" t="n"/>
      <c r="J83" s="26" t="n"/>
      <c r="K83" s="26" t="inlineStr">
        <is>
          <t>Out of print</t>
        </is>
      </c>
      <c r="L83" s="26" t="inlineStr">
        <is>
          <t>Buy the single. Start with TCGplayer/eBay or a local card show; bundle cheap cards from one seller.</t>
        </is>
      </c>
      <c r="M83" s="26" t="inlineStr">
        <is>
          <t>Marill 135/214 Lost Thunder English Standard</t>
        </is>
      </c>
      <c r="N83" s="26" t="inlineStr">
        <is>
          <t>Easy</t>
        </is>
      </c>
      <c r="O83" s="26" t="inlineStr">
        <is>
          <t>NEED</t>
        </is>
      </c>
      <c r="P83" s="26" t="n">
        <v>0</v>
      </c>
      <c r="Q83" s="26" t="n"/>
      <c r="R83" s="26" t="inlineStr">
        <is>
          <t>add official reverse/holo counterpart if issued; add official reverse/holo counterpart if issued; add official reverse/holo counterpart if issued; StableKey=AZF-082</t>
        </is>
      </c>
      <c r="S83" s="26" t="inlineStr">
        <is>
          <t>https://bulbapedia.bulbagarden.net/wiki/Marill_(TCG)</t>
        </is>
      </c>
    </row>
    <row r="84">
      <c r="A84" s="26" t="n">
        <v>83</v>
      </c>
      <c r="B84" s="26" t="inlineStr">
        <is>
          <t>Marill</t>
        </is>
      </c>
      <c r="C84" s="26" t="inlineStr">
        <is>
          <t>Marill</t>
        </is>
      </c>
      <c r="D84" s="26" t="inlineStr">
        <is>
          <t>English</t>
        </is>
      </c>
      <c r="E84" s="26" t="inlineStr">
        <is>
          <t>International</t>
        </is>
      </c>
      <c r="F84" s="26" t="inlineStr">
        <is>
          <t>Lost Thunder</t>
        </is>
      </c>
      <c r="G84" s="26" t="inlineStr">
        <is>
          <t>135/214</t>
        </is>
      </c>
      <c r="H84" s="26" t="inlineStr">
        <is>
          <t>Reverse Holo</t>
        </is>
      </c>
      <c r="I84" s="26" t="inlineStr">
        <is>
          <t>Reverse Holo</t>
        </is>
      </c>
      <c r="J84" s="26" t="n"/>
      <c r="K84" s="26" t="inlineStr">
        <is>
          <t>Out of print</t>
        </is>
      </c>
      <c r="L84" s="26" t="inlineStr">
        <is>
          <t>Buy the single. Start with TCGplayer/eBay or a local card show; bundle cheap cards from one seller.</t>
        </is>
      </c>
      <c r="M84" s="26" t="inlineStr">
        <is>
          <t>Marill 135/214 Lost Thunder English Reverse Holo</t>
        </is>
      </c>
      <c r="N84" s="26" t="inlineStr">
        <is>
          <t>Easy</t>
        </is>
      </c>
      <c r="O84" s="26" t="inlineStr">
        <is>
          <t>NEED</t>
        </is>
      </c>
      <c r="P84" s="26" t="n">
        <v>0</v>
      </c>
      <c r="Q84" s="26" t="n"/>
      <c r="R84" s="26" t="inlineStr">
        <is>
          <t>add official reverse/holo counterpart if issued; add official reverse/holo counterpart if issued; add official reverse/holo counterpart if issued; StableKey=AZF-083</t>
        </is>
      </c>
      <c r="S84" s="26" t="inlineStr">
        <is>
          <t>https://bulbapedia.bulbagarden.net/wiki/Marill_(TCG)</t>
        </is>
      </c>
    </row>
    <row r="85">
      <c r="A85" s="26" t="n">
        <v>84</v>
      </c>
      <c r="B85" s="26" t="inlineStr">
        <is>
          <t>Marill</t>
        </is>
      </c>
      <c r="C85" s="26" t="inlineStr">
        <is>
          <t>Marill</t>
        </is>
      </c>
      <c r="D85" s="26" t="inlineStr">
        <is>
          <t>Spanish</t>
        </is>
      </c>
      <c r="E85" s="26" t="inlineStr">
        <is>
          <t>International</t>
        </is>
      </c>
      <c r="F85" s="26" t="inlineStr">
        <is>
          <t>Lost Thunder</t>
        </is>
      </c>
      <c r="G85" s="26" t="inlineStr">
        <is>
          <t>135/214</t>
        </is>
      </c>
      <c r="H85" s="26" t="inlineStr">
        <is>
          <t>Standard</t>
        </is>
      </c>
      <c r="I85" s="26" t="n"/>
      <c r="J85" s="26" t="n"/>
      <c r="K85" s="26" t="inlineStr">
        <is>
          <t>Out of print</t>
        </is>
      </c>
      <c r="L85" s="26" t="inlineStr">
        <is>
          <t>Buy the Spanish single. Cardmarket/eBay are usually best; filter Language = Spanish and bundle orders.</t>
        </is>
      </c>
      <c r="M85" s="26" t="inlineStr">
        <is>
          <t>Marill 135/214 Lost Thunder Spanish Standard</t>
        </is>
      </c>
      <c r="N85" s="26" t="inlineStr">
        <is>
          <t>Medium</t>
        </is>
      </c>
      <c r="O85" s="26" t="inlineStr">
        <is>
          <t>NEED</t>
        </is>
      </c>
      <c r="P85" s="26" t="n">
        <v>0</v>
      </c>
      <c r="Q85" s="26" t="n"/>
      <c r="R85" s="26" t="inlineStr">
        <is>
          <t>add official reverse/holo counterpart if issued; add official reverse/holo counterpart if issued; add official reverse/holo counterpart if issued; StableKey=AZF-084</t>
        </is>
      </c>
      <c r="S85" s="26" t="inlineStr">
        <is>
          <t>https://bulbapedia.bulbagarden.net/wiki/Marill_(TCG)</t>
        </is>
      </c>
    </row>
    <row r="86">
      <c r="A86" s="26" t="n">
        <v>85</v>
      </c>
      <c r="B86" s="26" t="inlineStr">
        <is>
          <t>Marill</t>
        </is>
      </c>
      <c r="C86" s="26" t="inlineStr">
        <is>
          <t>Marill</t>
        </is>
      </c>
      <c r="D86" s="26" t="inlineStr">
        <is>
          <t>Spanish</t>
        </is>
      </c>
      <c r="E86" s="26" t="inlineStr">
        <is>
          <t>International</t>
        </is>
      </c>
      <c r="F86" s="26" t="inlineStr">
        <is>
          <t>Lost Thunder</t>
        </is>
      </c>
      <c r="G86" s="26" t="inlineStr">
        <is>
          <t>135/214</t>
        </is>
      </c>
      <c r="H86" s="26" t="inlineStr">
        <is>
          <t>Reverse Holo</t>
        </is>
      </c>
      <c r="I86" s="26" t="inlineStr">
        <is>
          <t>Reverse Holo</t>
        </is>
      </c>
      <c r="J86" s="26" t="n"/>
      <c r="K86" s="26" t="inlineStr">
        <is>
          <t>Out of print</t>
        </is>
      </c>
      <c r="L86" s="26" t="inlineStr">
        <is>
          <t>Buy the Spanish single. Cardmarket/eBay are usually best; filter Language = Spanish and bundle orders.</t>
        </is>
      </c>
      <c r="M86" s="26" t="inlineStr">
        <is>
          <t>Marill 135/214 Lost Thunder Spanish Reverse Holo</t>
        </is>
      </c>
      <c r="N86" s="26" t="inlineStr">
        <is>
          <t>Medium</t>
        </is>
      </c>
      <c r="O86" s="26" t="inlineStr">
        <is>
          <t>NEED</t>
        </is>
      </c>
      <c r="P86" s="26" t="n">
        <v>0</v>
      </c>
      <c r="Q86" s="26" t="n"/>
      <c r="R86" s="26" t="inlineStr">
        <is>
          <t>add official reverse/holo counterpart if issued; add official reverse/holo counterpart if issued; add official reverse/holo counterpart if issued; StableKey=AZF-085</t>
        </is>
      </c>
      <c r="S86" s="26" t="inlineStr">
        <is>
          <t>https://bulbapedia.bulbagarden.net/wiki/Marill_(TCG)</t>
        </is>
      </c>
    </row>
    <row r="87">
      <c r="A87" s="26" t="n">
        <v>86</v>
      </c>
      <c r="B87" s="26" t="inlineStr">
        <is>
          <t>Marill</t>
        </is>
      </c>
      <c r="C87" s="26" t="inlineStr">
        <is>
          <t>Marill</t>
        </is>
      </c>
      <c r="D87" s="26" t="inlineStr">
        <is>
          <t>Japanese</t>
        </is>
      </c>
      <c r="E87" s="26" t="inlineStr">
        <is>
          <t>Japan</t>
        </is>
      </c>
      <c r="F87" s="26" t="inlineStr">
        <is>
          <t>Super-Burst Impact</t>
        </is>
      </c>
      <c r="G87" s="26" t="inlineStr">
        <is>
          <t>062/095</t>
        </is>
      </c>
      <c r="H87" s="26" t="inlineStr">
        <is>
          <t>Standard</t>
        </is>
      </c>
      <c r="I87" s="26" t="n"/>
      <c r="J87" s="26" t="n"/>
      <c r="K87" s="26" t="inlineStr">
        <is>
          <t>Out of print</t>
        </is>
      </c>
      <c r="L87" s="26" t="inlineStr">
        <is>
          <t>Buy the Japanese single. Use eBay/Cardmarket or Mercari/Yahoo Japan through a proxy; bundle proxy orders.</t>
        </is>
      </c>
      <c r="M87" s="26" t="inlineStr">
        <is>
          <t>Marill 062/095 Super-Burst Impact Japanese Standard</t>
        </is>
      </c>
      <c r="N87" s="26" t="inlineStr">
        <is>
          <t>Medium</t>
        </is>
      </c>
      <c r="O87" s="26" t="inlineStr">
        <is>
          <t>NEED</t>
        </is>
      </c>
      <c r="P87" s="26" t="n">
        <v>0</v>
      </c>
      <c r="Q87" s="26" t="n"/>
      <c r="R87" s="26" t="inlineStr">
        <is>
          <t>StableKey=AZF-086</t>
        </is>
      </c>
      <c r="S87" s="26" t="inlineStr">
        <is>
          <t>https://bulbapedia.bulbagarden.net/wiki/Marill_(TCG)</t>
        </is>
      </c>
    </row>
    <row r="88">
      <c r="A88" s="26" t="n">
        <v>87</v>
      </c>
      <c r="B88" s="26" t="inlineStr">
        <is>
          <t>Marill</t>
        </is>
      </c>
      <c r="C88" s="26" t="inlineStr">
        <is>
          <t>Marill</t>
        </is>
      </c>
      <c r="D88" s="26" t="inlineStr">
        <is>
          <t>English</t>
        </is>
      </c>
      <c r="E88" s="26" t="inlineStr">
        <is>
          <t>International</t>
        </is>
      </c>
      <c r="F88" s="26" t="inlineStr">
        <is>
          <t>Fusion Strike</t>
        </is>
      </c>
      <c r="G88" s="26" t="inlineStr">
        <is>
          <t>058/264</t>
        </is>
      </c>
      <c r="H88" s="26" t="inlineStr">
        <is>
          <t>Standard</t>
        </is>
      </c>
      <c r="I88" s="26" t="n"/>
      <c r="J88" s="26" t="n"/>
      <c r="K88" s="26" t="inlineStr">
        <is>
          <t>Out of print</t>
        </is>
      </c>
      <c r="L88" s="26" t="inlineStr">
        <is>
          <t>Buy the single. Start with TCGplayer/eBay or a local card show; bundle cheap cards from one seller.</t>
        </is>
      </c>
      <c r="M88" s="26" t="inlineStr">
        <is>
          <t>Marill 058/264 Fusion Strike English Standard</t>
        </is>
      </c>
      <c r="N88" s="26" t="inlineStr">
        <is>
          <t>Easy</t>
        </is>
      </c>
      <c r="O88" s="26" t="inlineStr">
        <is>
          <t>NEED</t>
        </is>
      </c>
      <c r="P88" s="26" t="n">
        <v>0</v>
      </c>
      <c r="Q88" s="26" t="n"/>
      <c r="R88" s="26" t="inlineStr">
        <is>
          <t>add official reverse/holo counterpart if issued; add official reverse/holo counterpart if issued; add official reverse/holo counterpart if issued; StableKey=AZF-087</t>
        </is>
      </c>
      <c r="S88" s="26" t="inlineStr">
        <is>
          <t>https://bulbapedia.bulbagarden.net/wiki/Marill_(TCG)</t>
        </is>
      </c>
    </row>
    <row r="89">
      <c r="A89" s="26" t="n">
        <v>88</v>
      </c>
      <c r="B89" s="26" t="inlineStr">
        <is>
          <t>Marill</t>
        </is>
      </c>
      <c r="C89" s="26" t="inlineStr">
        <is>
          <t>Marill</t>
        </is>
      </c>
      <c r="D89" s="26" t="inlineStr">
        <is>
          <t>English</t>
        </is>
      </c>
      <c r="E89" s="26" t="inlineStr">
        <is>
          <t>International</t>
        </is>
      </c>
      <c r="F89" s="26" t="inlineStr">
        <is>
          <t>Fusion Strike</t>
        </is>
      </c>
      <c r="G89" s="26" t="inlineStr">
        <is>
          <t>058/264</t>
        </is>
      </c>
      <c r="H89" s="26" t="inlineStr">
        <is>
          <t>Reverse Holo</t>
        </is>
      </c>
      <c r="I89" s="26" t="inlineStr">
        <is>
          <t>Reverse Holo</t>
        </is>
      </c>
      <c r="J89" s="26" t="n"/>
      <c r="K89" s="26" t="inlineStr">
        <is>
          <t>Out of print</t>
        </is>
      </c>
      <c r="L89" s="26" t="inlineStr">
        <is>
          <t>Buy the single. Start with TCGplayer/eBay or a local card show; bundle cheap cards from one seller.</t>
        </is>
      </c>
      <c r="M89" s="26" t="inlineStr">
        <is>
          <t>Marill 058/264 Fusion Strike English Reverse Holo</t>
        </is>
      </c>
      <c r="N89" s="26" t="inlineStr">
        <is>
          <t>Easy</t>
        </is>
      </c>
      <c r="O89" s="26" t="inlineStr">
        <is>
          <t>NEED</t>
        </is>
      </c>
      <c r="P89" s="26" t="n">
        <v>0</v>
      </c>
      <c r="Q89" s="26" t="n"/>
      <c r="R89" s="26" t="inlineStr">
        <is>
          <t>add official reverse/holo counterpart if issued; add official reverse/holo counterpart if issued; add official reverse/holo counterpart if issued; StableKey=AZF-088</t>
        </is>
      </c>
      <c r="S89" s="26" t="inlineStr">
        <is>
          <t>https://bulbapedia.bulbagarden.net/wiki/Marill_(TCG)</t>
        </is>
      </c>
    </row>
    <row r="90">
      <c r="A90" s="26" t="n">
        <v>89</v>
      </c>
      <c r="B90" s="26" t="inlineStr">
        <is>
          <t>Marill</t>
        </is>
      </c>
      <c r="C90" s="26" t="inlineStr">
        <is>
          <t>Marill</t>
        </is>
      </c>
      <c r="D90" s="26" t="inlineStr">
        <is>
          <t>Spanish</t>
        </is>
      </c>
      <c r="E90" s="26" t="inlineStr">
        <is>
          <t>International</t>
        </is>
      </c>
      <c r="F90" s="26" t="inlineStr">
        <is>
          <t>Fusion Strike</t>
        </is>
      </c>
      <c r="G90" s="26" t="inlineStr">
        <is>
          <t>058/264</t>
        </is>
      </c>
      <c r="H90" s="26" t="inlineStr">
        <is>
          <t>Standard</t>
        </is>
      </c>
      <c r="I90" s="26" t="n"/>
      <c r="J90" s="26" t="n"/>
      <c r="K90" s="26" t="inlineStr">
        <is>
          <t>Out of print</t>
        </is>
      </c>
      <c r="L90" s="26" t="inlineStr">
        <is>
          <t>Buy the Spanish single. Cardmarket/eBay are usually best; filter Language = Spanish and bundle orders.</t>
        </is>
      </c>
      <c r="M90" s="26" t="inlineStr">
        <is>
          <t>Marill 058/264 Fusion Strike Spanish Standard</t>
        </is>
      </c>
      <c r="N90" s="26" t="inlineStr">
        <is>
          <t>Medium</t>
        </is>
      </c>
      <c r="O90" s="26" t="inlineStr">
        <is>
          <t>NEED</t>
        </is>
      </c>
      <c r="P90" s="26" t="n">
        <v>0</v>
      </c>
      <c r="Q90" s="26" t="n"/>
      <c r="R90" s="26" t="inlineStr">
        <is>
          <t>add official reverse/holo counterpart if issued; add official reverse/holo counterpart if issued; add official reverse/holo counterpart if issued; StableKey=AZF-089</t>
        </is>
      </c>
      <c r="S90" s="26" t="inlineStr">
        <is>
          <t>https://bulbapedia.bulbagarden.net/wiki/Marill_(TCG)</t>
        </is>
      </c>
    </row>
    <row r="91">
      <c r="A91" s="26" t="n">
        <v>90</v>
      </c>
      <c r="B91" s="26" t="inlineStr">
        <is>
          <t>Marill</t>
        </is>
      </c>
      <c r="C91" s="26" t="inlineStr">
        <is>
          <t>Marill</t>
        </is>
      </c>
      <c r="D91" s="26" t="inlineStr">
        <is>
          <t>Spanish</t>
        </is>
      </c>
      <c r="E91" s="26" t="inlineStr">
        <is>
          <t>International</t>
        </is>
      </c>
      <c r="F91" s="26" t="inlineStr">
        <is>
          <t>Fusion Strike</t>
        </is>
      </c>
      <c r="G91" s="26" t="inlineStr">
        <is>
          <t>058/264</t>
        </is>
      </c>
      <c r="H91" s="26" t="inlineStr">
        <is>
          <t>Reverse Holo</t>
        </is>
      </c>
      <c r="I91" s="26" t="inlineStr">
        <is>
          <t>Reverse Holo</t>
        </is>
      </c>
      <c r="J91" s="26" t="n"/>
      <c r="K91" s="26" t="inlineStr">
        <is>
          <t>Out of print</t>
        </is>
      </c>
      <c r="L91" s="26" t="inlineStr">
        <is>
          <t>Buy the Spanish single. Cardmarket/eBay are usually best; filter Language = Spanish and bundle orders.</t>
        </is>
      </c>
      <c r="M91" s="26" t="inlineStr">
        <is>
          <t>Marill 058/264 Fusion Strike Spanish Reverse Holo</t>
        </is>
      </c>
      <c r="N91" s="26" t="inlineStr">
        <is>
          <t>Medium</t>
        </is>
      </c>
      <c r="O91" s="26" t="inlineStr">
        <is>
          <t>NEED</t>
        </is>
      </c>
      <c r="P91" s="26" t="n">
        <v>0</v>
      </c>
      <c r="Q91" s="26" t="n"/>
      <c r="R91" s="26" t="inlineStr">
        <is>
          <t>add official reverse/holo counterpart if issued; add official reverse/holo counterpart if issued; add official reverse/holo counterpart if issued; StableKey=AZF-090</t>
        </is>
      </c>
      <c r="S91" s="26" t="inlineStr">
        <is>
          <t>https://bulbapedia.bulbagarden.net/wiki/Marill_(TCG)</t>
        </is>
      </c>
    </row>
    <row r="92">
      <c r="A92" s="26" t="n">
        <v>91</v>
      </c>
      <c r="B92" s="26" t="inlineStr">
        <is>
          <t>Marill</t>
        </is>
      </c>
      <c r="C92" s="26" t="inlineStr">
        <is>
          <t>Marill</t>
        </is>
      </c>
      <c r="D92" s="26" t="inlineStr">
        <is>
          <t>Japanese</t>
        </is>
      </c>
      <c r="E92" s="26" t="inlineStr">
        <is>
          <t>Japan</t>
        </is>
      </c>
      <c r="F92" s="26" t="inlineStr">
        <is>
          <t>Eevee Heroes</t>
        </is>
      </c>
      <c r="G92" s="26" t="inlineStr">
        <is>
          <t>016/069</t>
        </is>
      </c>
      <c r="H92" s="26" t="inlineStr">
        <is>
          <t>Standard</t>
        </is>
      </c>
      <c r="I92" s="26" t="n"/>
      <c r="J92" s="26" t="n"/>
      <c r="K92" s="26" t="inlineStr">
        <is>
          <t>Out of print</t>
        </is>
      </c>
      <c r="L92" s="26" t="inlineStr">
        <is>
          <t>Buy the Japanese single. Use eBay/Cardmarket or Mercari/Yahoo Japan through a proxy; bundle proxy orders.</t>
        </is>
      </c>
      <c r="M92" s="26" t="inlineStr">
        <is>
          <t>Marill 016/069 Eevee Heroes Japanese Standard</t>
        </is>
      </c>
      <c r="N92" s="26" t="inlineStr">
        <is>
          <t>Medium</t>
        </is>
      </c>
      <c r="O92" s="26" t="inlineStr">
        <is>
          <t>NEED</t>
        </is>
      </c>
      <c r="P92" s="26" t="n">
        <v>0</v>
      </c>
      <c r="Q92" s="26" t="n"/>
      <c r="R92" s="26" t="inlineStr">
        <is>
          <t>StableKey=AZF-091</t>
        </is>
      </c>
      <c r="S92" s="26" t="inlineStr">
        <is>
          <t>https://bulbapedia.bulbagarden.net/wiki/Marill_(TCG)</t>
        </is>
      </c>
    </row>
    <row r="93">
      <c r="A93" s="26" t="n">
        <v>92</v>
      </c>
      <c r="B93" s="26" t="inlineStr">
        <is>
          <t>Marill</t>
        </is>
      </c>
      <c r="C93" s="26" t="inlineStr">
        <is>
          <t>Marill</t>
        </is>
      </c>
      <c r="D93" s="26" t="inlineStr">
        <is>
          <t>English</t>
        </is>
      </c>
      <c r="E93" s="26" t="inlineStr">
        <is>
          <t>International</t>
        </is>
      </c>
      <c r="F93" s="26" t="inlineStr">
        <is>
          <t>Paldea Evolved</t>
        </is>
      </c>
      <c r="G93" s="26" t="inlineStr">
        <is>
          <t>044/193</t>
        </is>
      </c>
      <c r="H93" s="26" t="inlineStr">
        <is>
          <t>Standard</t>
        </is>
      </c>
      <c r="I93" s="26" t="n"/>
      <c r="J93" s="26" t="n"/>
      <c r="K93" s="26" t="inlineStr">
        <is>
          <t>Out of print</t>
        </is>
      </c>
      <c r="L93" s="26" t="inlineStr">
        <is>
          <t>Buy the single. Start with TCGplayer/eBay or a local card show; bundle cheap cards from one seller.</t>
        </is>
      </c>
      <c r="M93" s="26" t="inlineStr">
        <is>
          <t>Marill 044/193 Paldea Evolved English Standard</t>
        </is>
      </c>
      <c r="N93" s="26" t="inlineStr">
        <is>
          <t>Easy</t>
        </is>
      </c>
      <c r="O93" s="26" t="inlineStr">
        <is>
          <t>NEED</t>
        </is>
      </c>
      <c r="P93" s="26" t="n">
        <v>0</v>
      </c>
      <c r="Q93" s="26" t="n"/>
      <c r="R93" s="26" t="inlineStr">
        <is>
          <t>add official reverse/holo counterpart if issued; add official reverse/holo counterpart if issued; add official reverse/holo counterpart if issued; StableKey=AZF-092</t>
        </is>
      </c>
      <c r="S93" s="26" t="inlineStr">
        <is>
          <t>https://bulbapedia.bulbagarden.net/wiki/Marill_(TCG)</t>
        </is>
      </c>
    </row>
    <row r="94">
      <c r="A94" s="26" t="n">
        <v>93</v>
      </c>
      <c r="B94" s="26" t="inlineStr">
        <is>
          <t>Marill</t>
        </is>
      </c>
      <c r="C94" s="26" t="inlineStr">
        <is>
          <t>Marill</t>
        </is>
      </c>
      <c r="D94" s="26" t="inlineStr">
        <is>
          <t>English</t>
        </is>
      </c>
      <c r="E94" s="26" t="inlineStr">
        <is>
          <t>International</t>
        </is>
      </c>
      <c r="F94" s="26" t="inlineStr">
        <is>
          <t>Paldea Evolved</t>
        </is>
      </c>
      <c r="G94" s="26" t="inlineStr">
        <is>
          <t>044/193</t>
        </is>
      </c>
      <c r="H94" s="26" t="inlineStr">
        <is>
          <t>Reverse Holo</t>
        </is>
      </c>
      <c r="I94" s="26" t="inlineStr">
        <is>
          <t>Reverse Holo</t>
        </is>
      </c>
      <c r="J94" s="26" t="n"/>
      <c r="K94" s="26" t="inlineStr">
        <is>
          <t>Out of print</t>
        </is>
      </c>
      <c r="L94" s="26" t="inlineStr">
        <is>
          <t>Buy the single. Start with TCGplayer/eBay or a local card show; bundle cheap cards from one seller.</t>
        </is>
      </c>
      <c r="M94" s="26" t="inlineStr">
        <is>
          <t>Marill 044/193 Paldea Evolved English Reverse Holo</t>
        </is>
      </c>
      <c r="N94" s="26" t="inlineStr">
        <is>
          <t>Easy</t>
        </is>
      </c>
      <c r="O94" s="26" t="inlineStr">
        <is>
          <t>NEED</t>
        </is>
      </c>
      <c r="P94" s="26" t="n">
        <v>0</v>
      </c>
      <c r="Q94" s="26" t="n"/>
      <c r="R94" s="26" t="inlineStr">
        <is>
          <t>add official reverse/holo counterpart if issued; add official reverse/holo counterpart if issued; add official reverse/holo counterpart if issued; StableKey=AZF-093</t>
        </is>
      </c>
      <c r="S94" s="26" t="inlineStr">
        <is>
          <t>https://bulbapedia.bulbagarden.net/wiki/Marill_(TCG)</t>
        </is>
      </c>
    </row>
    <row r="95">
      <c r="A95" s="26" t="n">
        <v>94</v>
      </c>
      <c r="B95" s="26" t="inlineStr">
        <is>
          <t>Marill</t>
        </is>
      </c>
      <c r="C95" s="26" t="inlineStr">
        <is>
          <t>Marill</t>
        </is>
      </c>
      <c r="D95" s="26" t="inlineStr">
        <is>
          <t>Spanish</t>
        </is>
      </c>
      <c r="E95" s="26" t="inlineStr">
        <is>
          <t>International</t>
        </is>
      </c>
      <c r="F95" s="26" t="inlineStr">
        <is>
          <t>Paldea Evolved</t>
        </is>
      </c>
      <c r="G95" s="26" t="inlineStr">
        <is>
          <t>044/193</t>
        </is>
      </c>
      <c r="H95" s="26" t="inlineStr">
        <is>
          <t>Standard</t>
        </is>
      </c>
      <c r="I95" s="26" t="n"/>
      <c r="J95" s="26" t="n"/>
      <c r="K95" s="26" t="inlineStr">
        <is>
          <t>Out of print</t>
        </is>
      </c>
      <c r="L95" s="26" t="inlineStr">
        <is>
          <t>Buy the Spanish single. Cardmarket/eBay are usually best; filter Language = Spanish and bundle orders.</t>
        </is>
      </c>
      <c r="M95" s="26" t="inlineStr">
        <is>
          <t>Marill 044/193 Paldea Evolved Spanish Standard</t>
        </is>
      </c>
      <c r="N95" s="26" t="inlineStr">
        <is>
          <t>Medium</t>
        </is>
      </c>
      <c r="O95" s="26" t="inlineStr">
        <is>
          <t>NEED</t>
        </is>
      </c>
      <c r="P95" s="26" t="n">
        <v>0</v>
      </c>
      <c r="Q95" s="26" t="n"/>
      <c r="R95" s="26" t="inlineStr">
        <is>
          <t>add official reverse/holo counterpart if issued; add official reverse/holo counterpart if issued; add official reverse/holo counterpart if issued; StableKey=AZF-094</t>
        </is>
      </c>
      <c r="S95" s="26" t="inlineStr">
        <is>
          <t>https://bulbapedia.bulbagarden.net/wiki/Marill_(TCG)</t>
        </is>
      </c>
    </row>
    <row r="96">
      <c r="A96" s="26" t="n">
        <v>95</v>
      </c>
      <c r="B96" s="26" t="inlineStr">
        <is>
          <t>Marill</t>
        </is>
      </c>
      <c r="C96" s="26" t="inlineStr">
        <is>
          <t>Marill</t>
        </is>
      </c>
      <c r="D96" s="26" t="inlineStr">
        <is>
          <t>Spanish</t>
        </is>
      </c>
      <c r="E96" s="26" t="inlineStr">
        <is>
          <t>International</t>
        </is>
      </c>
      <c r="F96" s="26" t="inlineStr">
        <is>
          <t>Paldea Evolved</t>
        </is>
      </c>
      <c r="G96" s="26" t="inlineStr">
        <is>
          <t>044/193</t>
        </is>
      </c>
      <c r="H96" s="26" t="inlineStr">
        <is>
          <t>Reverse Holo</t>
        </is>
      </c>
      <c r="I96" s="26" t="inlineStr">
        <is>
          <t>Reverse Holo</t>
        </is>
      </c>
      <c r="J96" s="26" t="n"/>
      <c r="K96" s="26" t="inlineStr">
        <is>
          <t>Out of print</t>
        </is>
      </c>
      <c r="L96" s="26" t="inlineStr">
        <is>
          <t>Buy the Spanish single. Cardmarket/eBay are usually best; filter Language = Spanish and bundle orders.</t>
        </is>
      </c>
      <c r="M96" s="26" t="inlineStr">
        <is>
          <t>Marill 044/193 Paldea Evolved Spanish Reverse Holo</t>
        </is>
      </c>
      <c r="N96" s="26" t="inlineStr">
        <is>
          <t>Medium</t>
        </is>
      </c>
      <c r="O96" s="26" t="inlineStr">
        <is>
          <t>NEED</t>
        </is>
      </c>
      <c r="P96" s="26" t="n">
        <v>0</v>
      </c>
      <c r="Q96" s="26" t="n"/>
      <c r="R96" s="26" t="inlineStr">
        <is>
          <t>add official reverse/holo counterpart if issued; add official reverse/holo counterpart if issued; add official reverse/holo counterpart if issued; StableKey=AZF-095</t>
        </is>
      </c>
      <c r="S96" s="26" t="inlineStr">
        <is>
          <t>https://bulbapedia.bulbagarden.net/wiki/Marill_(TCG)</t>
        </is>
      </c>
    </row>
    <row r="97">
      <c r="A97" s="26" t="n">
        <v>96</v>
      </c>
      <c r="B97" s="26" t="inlineStr">
        <is>
          <t>Marill</t>
        </is>
      </c>
      <c r="C97" s="26" t="inlineStr">
        <is>
          <t>Marill</t>
        </is>
      </c>
      <c r="D97" s="26" t="inlineStr">
        <is>
          <t>Japanese</t>
        </is>
      </c>
      <c r="E97" s="26" t="inlineStr">
        <is>
          <t>Japan</t>
        </is>
      </c>
      <c r="F97" s="26" t="inlineStr">
        <is>
          <t>Snow Hazard</t>
        </is>
      </c>
      <c r="G97" s="26" t="inlineStr">
        <is>
          <t>016/071</t>
        </is>
      </c>
      <c r="H97" s="26" t="inlineStr">
        <is>
          <t>Standard</t>
        </is>
      </c>
      <c r="I97" s="26" t="n"/>
      <c r="J97" s="26" t="n"/>
      <c r="K97" s="26" t="inlineStr">
        <is>
          <t>Out of print</t>
        </is>
      </c>
      <c r="L97" s="26" t="inlineStr">
        <is>
          <t>Buy the Japanese single. Use eBay/Cardmarket or Mercari/Yahoo Japan through a proxy; bundle proxy orders.</t>
        </is>
      </c>
      <c r="M97" s="26" t="inlineStr">
        <is>
          <t>Marill 016/071 Snow Hazard Japanese Standard</t>
        </is>
      </c>
      <c r="N97" s="26" t="inlineStr">
        <is>
          <t>Medium</t>
        </is>
      </c>
      <c r="O97" s="26" t="inlineStr">
        <is>
          <t>NEED</t>
        </is>
      </c>
      <c r="P97" s="26" t="n">
        <v>0</v>
      </c>
      <c r="Q97" s="26" t="n"/>
      <c r="R97" s="26" t="inlineStr">
        <is>
          <t>StableKey=AZF-096</t>
        </is>
      </c>
      <c r="S97" s="26" t="inlineStr">
        <is>
          <t>https://bulbapedia.bulbagarden.net/wiki/Marill_(TCG)</t>
        </is>
      </c>
    </row>
    <row r="98">
      <c r="A98" s="26" t="n">
        <v>97</v>
      </c>
      <c r="B98" s="26" t="inlineStr">
        <is>
          <t>Marill</t>
        </is>
      </c>
      <c r="C98" s="26" t="inlineStr">
        <is>
          <t>Marill</t>
        </is>
      </c>
      <c r="D98" s="26" t="inlineStr">
        <is>
          <t>English</t>
        </is>
      </c>
      <c r="E98" s="26" t="inlineStr">
        <is>
          <t>International</t>
        </is>
      </c>
      <c r="F98" s="26" t="inlineStr">
        <is>
          <t>Paldea Evolved</t>
        </is>
      </c>
      <c r="G98" s="26" t="inlineStr">
        <is>
          <t>204/193</t>
        </is>
      </c>
      <c r="H98" s="26" t="inlineStr">
        <is>
          <t>Illustration Rare</t>
        </is>
      </c>
      <c r="I98" s="26" t="inlineStr">
        <is>
          <t>Illustration Rare</t>
        </is>
      </c>
      <c r="J98" s="26" t="inlineStr">
        <is>
          <t>Illustration Rare / Art Rare</t>
        </is>
      </c>
      <c r="K98" s="26" t="inlineStr">
        <is>
          <t>Out of print</t>
        </is>
      </c>
      <c r="L98" s="26" t="inlineStr">
        <is>
          <t>Buy the single. Start with TCGplayer/eBay or a local card show; bundle cheap cards from one seller.</t>
        </is>
      </c>
      <c r="M98" s="26" t="inlineStr">
        <is>
          <t>Marill 204/193 Paldea Evolved English Illustration Rare</t>
        </is>
      </c>
      <c r="N98" s="26" t="inlineStr">
        <is>
          <t>Easy</t>
        </is>
      </c>
      <c r="O98" s="26" t="inlineStr">
        <is>
          <t>NEED</t>
        </is>
      </c>
      <c r="P98" s="26" t="n">
        <v>0</v>
      </c>
      <c r="Q98" s="26" t="n"/>
      <c r="R98" s="26" t="inlineStr">
        <is>
          <t>add official reverse/holo counterpart if issued; add official reverse/holo counterpart if issued; add official reverse/holo counterpart if issued; StableKey=AZF-097</t>
        </is>
      </c>
      <c r="S98" s="26" t="inlineStr">
        <is>
          <t>https://bulbapedia.bulbagarden.net/wiki/Marill_(TCG)</t>
        </is>
      </c>
    </row>
    <row r="99">
      <c r="A99" s="26" t="n">
        <v>98</v>
      </c>
      <c r="B99" s="26" t="inlineStr">
        <is>
          <t>Marill</t>
        </is>
      </c>
      <c r="C99" s="26" t="inlineStr">
        <is>
          <t>Marill</t>
        </is>
      </c>
      <c r="D99" s="26" t="inlineStr">
        <is>
          <t>Spanish</t>
        </is>
      </c>
      <c r="E99" s="26" t="inlineStr">
        <is>
          <t>International</t>
        </is>
      </c>
      <c r="F99" s="26" t="inlineStr">
        <is>
          <t>Paldea Evolved</t>
        </is>
      </c>
      <c r="G99" s="26" t="inlineStr">
        <is>
          <t>204/193</t>
        </is>
      </c>
      <c r="H99" s="26" t="inlineStr">
        <is>
          <t>Illustration Rare</t>
        </is>
      </c>
      <c r="I99" s="26" t="inlineStr">
        <is>
          <t>Illustration Rare</t>
        </is>
      </c>
      <c r="J99" s="26" t="inlineStr">
        <is>
          <t>Illustration Rare / Art Rare</t>
        </is>
      </c>
      <c r="K99" s="26" t="inlineStr">
        <is>
          <t>Out of print</t>
        </is>
      </c>
      <c r="L99" s="26" t="inlineStr">
        <is>
          <t>Buy the Spanish single. Cardmarket/eBay are usually best; filter Language = Spanish and bundle orders.</t>
        </is>
      </c>
      <c r="M99" s="26" t="inlineStr">
        <is>
          <t>Marill 204/193 Paldea Evolved Spanish Illustration Rare</t>
        </is>
      </c>
      <c r="N99" s="26" t="inlineStr">
        <is>
          <t>Medium</t>
        </is>
      </c>
      <c r="O99" s="26" t="inlineStr">
        <is>
          <t>NEED</t>
        </is>
      </c>
      <c r="P99" s="26" t="n">
        <v>0</v>
      </c>
      <c r="Q99" s="26" t="n"/>
      <c r="R99" s="26" t="inlineStr">
        <is>
          <t>add official reverse/holo counterpart if issued; add official reverse/holo counterpart if issued; add official reverse/holo counterpart if issued; StableKey=AZF-098</t>
        </is>
      </c>
      <c r="S99" s="26" t="inlineStr">
        <is>
          <t>https://bulbapedia.bulbagarden.net/wiki/Marill_(TCG)</t>
        </is>
      </c>
    </row>
    <row r="100">
      <c r="A100" s="26" t="n">
        <v>99</v>
      </c>
      <c r="B100" s="26" t="inlineStr">
        <is>
          <t>Marill</t>
        </is>
      </c>
      <c r="C100" s="26" t="inlineStr">
        <is>
          <t>Marill</t>
        </is>
      </c>
      <c r="D100" s="26" t="inlineStr">
        <is>
          <t>Japanese</t>
        </is>
      </c>
      <c r="E100" s="26" t="inlineStr">
        <is>
          <t>Japan</t>
        </is>
      </c>
      <c r="F100" s="26" t="inlineStr">
        <is>
          <t>Snow Hazard</t>
        </is>
      </c>
      <c r="G100" s="26" t="inlineStr">
        <is>
          <t>073/071</t>
        </is>
      </c>
      <c r="H100" s="26" t="inlineStr">
        <is>
          <t>Standard</t>
        </is>
      </c>
      <c r="I100" s="26" t="n"/>
      <c r="J100" s="26" t="inlineStr">
        <is>
          <t>Illustration Rare / Art Rare</t>
        </is>
      </c>
      <c r="K100" s="26" t="inlineStr">
        <is>
          <t>Out of print</t>
        </is>
      </c>
      <c r="L100" s="26" t="inlineStr">
        <is>
          <t>Buy the Japanese single. Use eBay/Cardmarket or Mercari/Yahoo Japan through a proxy; bundle proxy orders.</t>
        </is>
      </c>
      <c r="M100" s="26" t="inlineStr">
        <is>
          <t>Marill 073/071 Snow Hazard Japanese Standard</t>
        </is>
      </c>
      <c r="N100" s="26" t="inlineStr">
        <is>
          <t>Medium</t>
        </is>
      </c>
      <c r="O100" s="26" t="inlineStr">
        <is>
          <t>NEED</t>
        </is>
      </c>
      <c r="P100" s="26" t="n">
        <v>0</v>
      </c>
      <c r="Q100" s="26" t="n"/>
      <c r="R100" s="26" t="inlineStr">
        <is>
          <t>StableKey=AZF-099</t>
        </is>
      </c>
      <c r="S100" s="26" t="inlineStr">
        <is>
          <t>https://bulbapedia.bulbagarden.net/wiki/Marill_(TCG)</t>
        </is>
      </c>
    </row>
    <row r="101">
      <c r="A101" s="26" t="n">
        <v>100</v>
      </c>
      <c r="B101" s="26" t="inlineStr">
        <is>
          <t>Marill</t>
        </is>
      </c>
      <c r="C101" s="26" t="inlineStr">
        <is>
          <t>Marill</t>
        </is>
      </c>
      <c r="D101" s="26" t="inlineStr">
        <is>
          <t>English</t>
        </is>
      </c>
      <c r="E101" s="26" t="inlineStr">
        <is>
          <t>International</t>
        </is>
      </c>
      <c r="F101" s="26" t="inlineStr">
        <is>
          <t>Temporal Forces</t>
        </is>
      </c>
      <c r="G101" s="26" t="inlineStr">
        <is>
          <t>064/162</t>
        </is>
      </c>
      <c r="H101" s="26" t="inlineStr">
        <is>
          <t>Standard</t>
        </is>
      </c>
      <c r="I101" s="26" t="n"/>
      <c r="J101" s="26" t="n"/>
      <c r="K101" s="26" t="inlineStr">
        <is>
          <t>Out of print</t>
        </is>
      </c>
      <c r="L101" s="26" t="inlineStr">
        <is>
          <t>Buy the single. Start with TCGplayer/eBay or a local card show; bundle cheap cards from one seller.</t>
        </is>
      </c>
      <c r="M101" s="26" t="inlineStr">
        <is>
          <t>Marill 064/162 Temporal Forces English Standard</t>
        </is>
      </c>
      <c r="N101" s="26" t="inlineStr">
        <is>
          <t>Easy</t>
        </is>
      </c>
      <c r="O101" s="26" t="inlineStr">
        <is>
          <t>NEED</t>
        </is>
      </c>
      <c r="P101" s="26" t="n">
        <v>0</v>
      </c>
      <c r="Q101" s="26" t="n"/>
      <c r="R101" s="26" t="inlineStr">
        <is>
          <t>add official reverse/holo counterpart if issued; add official reverse/holo counterpart if issued; add official reverse/holo counterpart if issued; StableKey=AZF-100</t>
        </is>
      </c>
      <c r="S101" s="26" t="inlineStr">
        <is>
          <t>https://bulbapedia.bulbagarden.net/wiki/Marill_(TCG)</t>
        </is>
      </c>
    </row>
    <row r="102">
      <c r="A102" s="26" t="n">
        <v>101</v>
      </c>
      <c r="B102" s="26" t="inlineStr">
        <is>
          <t>Marill</t>
        </is>
      </c>
      <c r="C102" s="26" t="inlineStr">
        <is>
          <t>Marill</t>
        </is>
      </c>
      <c r="D102" s="26" t="inlineStr">
        <is>
          <t>English</t>
        </is>
      </c>
      <c r="E102" s="26" t="inlineStr">
        <is>
          <t>International</t>
        </is>
      </c>
      <c r="F102" s="26" t="inlineStr">
        <is>
          <t>Temporal Forces</t>
        </is>
      </c>
      <c r="G102" s="26" t="inlineStr">
        <is>
          <t>064/162</t>
        </is>
      </c>
      <c r="H102" s="26" t="inlineStr">
        <is>
          <t>Reverse Holo</t>
        </is>
      </c>
      <c r="I102" s="26" t="inlineStr">
        <is>
          <t>Reverse Holo</t>
        </is>
      </c>
      <c r="J102" s="26" t="n"/>
      <c r="K102" s="26" t="inlineStr">
        <is>
          <t>Out of print</t>
        </is>
      </c>
      <c r="L102" s="26" t="inlineStr">
        <is>
          <t>Buy the single. Start with TCGplayer/eBay or a local card show; bundle cheap cards from one seller.</t>
        </is>
      </c>
      <c r="M102" s="26" t="inlineStr">
        <is>
          <t>Marill 064/162 Temporal Forces English Reverse Holo</t>
        </is>
      </c>
      <c r="N102" s="26" t="inlineStr">
        <is>
          <t>Easy</t>
        </is>
      </c>
      <c r="O102" s="26" t="inlineStr">
        <is>
          <t>NEED</t>
        </is>
      </c>
      <c r="P102" s="26" t="n">
        <v>0</v>
      </c>
      <c r="Q102" s="26" t="n"/>
      <c r="R102" s="26" t="inlineStr">
        <is>
          <t>add official reverse/holo counterpart if issued; add official reverse/holo counterpart if issued; add official reverse/holo counterpart if issued; StableKey=AZF-101</t>
        </is>
      </c>
      <c r="S102" s="26" t="inlineStr">
        <is>
          <t>https://bulbapedia.bulbagarden.net/wiki/Marill_(TCG)</t>
        </is>
      </c>
    </row>
    <row r="103">
      <c r="A103" s="26" t="n">
        <v>102</v>
      </c>
      <c r="B103" s="26" t="inlineStr">
        <is>
          <t>Marill</t>
        </is>
      </c>
      <c r="C103" s="26" t="inlineStr">
        <is>
          <t>Marill</t>
        </is>
      </c>
      <c r="D103" s="26" t="inlineStr">
        <is>
          <t>Spanish</t>
        </is>
      </c>
      <c r="E103" s="26" t="inlineStr">
        <is>
          <t>International</t>
        </is>
      </c>
      <c r="F103" s="26" t="inlineStr">
        <is>
          <t>Temporal Forces</t>
        </is>
      </c>
      <c r="G103" s="26" t="inlineStr">
        <is>
          <t>064/162</t>
        </is>
      </c>
      <c r="H103" s="26" t="inlineStr">
        <is>
          <t>Standard</t>
        </is>
      </c>
      <c r="I103" s="26" t="n"/>
      <c r="J103" s="26" t="n"/>
      <c r="K103" s="26" t="inlineStr">
        <is>
          <t>Out of print</t>
        </is>
      </c>
      <c r="L103" s="26" t="inlineStr">
        <is>
          <t>Buy the Spanish single. Cardmarket/eBay are usually best; filter Language = Spanish and bundle orders.</t>
        </is>
      </c>
      <c r="M103" s="26" t="inlineStr">
        <is>
          <t>Marill 064/162 Temporal Forces Spanish Standard</t>
        </is>
      </c>
      <c r="N103" s="26" t="inlineStr">
        <is>
          <t>Medium</t>
        </is>
      </c>
      <c r="O103" s="26" t="inlineStr">
        <is>
          <t>NEED</t>
        </is>
      </c>
      <c r="P103" s="26" t="n">
        <v>0</v>
      </c>
      <c r="Q103" s="26" t="n"/>
      <c r="R103" s="26" t="inlineStr">
        <is>
          <t>add official reverse/holo counterpart if issued; add official reverse/holo counterpart if issued; add official reverse/holo counterpart if issued; StableKey=AZF-102</t>
        </is>
      </c>
      <c r="S103" s="26" t="inlineStr">
        <is>
          <t>https://bulbapedia.bulbagarden.net/wiki/Marill_(TCG)</t>
        </is>
      </c>
    </row>
    <row r="104">
      <c r="A104" s="26" t="n">
        <v>103</v>
      </c>
      <c r="B104" s="26" t="inlineStr">
        <is>
          <t>Marill</t>
        </is>
      </c>
      <c r="C104" s="26" t="inlineStr">
        <is>
          <t>Marill</t>
        </is>
      </c>
      <c r="D104" s="26" t="inlineStr">
        <is>
          <t>Spanish</t>
        </is>
      </c>
      <c r="E104" s="26" t="inlineStr">
        <is>
          <t>International</t>
        </is>
      </c>
      <c r="F104" s="26" t="inlineStr">
        <is>
          <t>Temporal Forces</t>
        </is>
      </c>
      <c r="G104" s="26" t="inlineStr">
        <is>
          <t>064/162</t>
        </is>
      </c>
      <c r="H104" s="26" t="inlineStr">
        <is>
          <t>Reverse Holo</t>
        </is>
      </c>
      <c r="I104" s="26" t="inlineStr">
        <is>
          <t>Reverse Holo</t>
        </is>
      </c>
      <c r="J104" s="26" t="n"/>
      <c r="K104" s="26" t="inlineStr">
        <is>
          <t>Out of print</t>
        </is>
      </c>
      <c r="L104" s="26" t="inlineStr">
        <is>
          <t>Buy the Spanish single. Cardmarket/eBay are usually best; filter Language = Spanish and bundle orders.</t>
        </is>
      </c>
      <c r="M104" s="26" t="inlineStr">
        <is>
          <t>Marill 064/162 Temporal Forces Spanish Reverse Holo</t>
        </is>
      </c>
      <c r="N104" s="26" t="inlineStr">
        <is>
          <t>Medium</t>
        </is>
      </c>
      <c r="O104" s="26" t="inlineStr">
        <is>
          <t>NEED</t>
        </is>
      </c>
      <c r="P104" s="26" t="n">
        <v>0</v>
      </c>
      <c r="Q104" s="26" t="n"/>
      <c r="R104" s="26" t="inlineStr">
        <is>
          <t>add official reverse/holo counterpart if issued; add official reverse/holo counterpart if issued; add official reverse/holo counterpart if issued; StableKey=AZF-103</t>
        </is>
      </c>
      <c r="S104" s="26" t="inlineStr">
        <is>
          <t>https://bulbapedia.bulbagarden.net/wiki/Marill_(TCG)</t>
        </is>
      </c>
    </row>
    <row r="105">
      <c r="A105" s="26" t="n">
        <v>104</v>
      </c>
      <c r="B105" s="26" t="inlineStr">
        <is>
          <t>Marill</t>
        </is>
      </c>
      <c r="C105" s="26" t="inlineStr">
        <is>
          <t>Marill</t>
        </is>
      </c>
      <c r="D105" s="26" t="inlineStr">
        <is>
          <t>Japanese</t>
        </is>
      </c>
      <c r="E105" s="26" t="inlineStr">
        <is>
          <t>Japan</t>
        </is>
      </c>
      <c r="F105" s="26" t="inlineStr">
        <is>
          <t>Wild Force</t>
        </is>
      </c>
      <c r="G105" s="26" t="inlineStr">
        <is>
          <t>026/071</t>
        </is>
      </c>
      <c r="H105" s="26" t="inlineStr">
        <is>
          <t>Standard</t>
        </is>
      </c>
      <c r="I105" s="26" t="n"/>
      <c r="J105" s="26" t="n"/>
      <c r="K105" s="26" t="inlineStr">
        <is>
          <t>Out of print</t>
        </is>
      </c>
      <c r="L105" s="26" t="inlineStr">
        <is>
          <t>Buy the Japanese single. Use eBay/Cardmarket or Mercari/Yahoo Japan through a proxy; bundle proxy orders.</t>
        </is>
      </c>
      <c r="M105" s="26" t="inlineStr">
        <is>
          <t>Marill 026/071 Wild Force Japanese Standard</t>
        </is>
      </c>
      <c r="N105" s="26" t="inlineStr">
        <is>
          <t>Medium</t>
        </is>
      </c>
      <c r="O105" s="26" t="inlineStr">
        <is>
          <t>NEED</t>
        </is>
      </c>
      <c r="P105" s="26" t="n">
        <v>0</v>
      </c>
      <c r="Q105" s="26" t="n"/>
      <c r="R105" s="26" t="inlineStr">
        <is>
          <t>StableKey=AZF-104</t>
        </is>
      </c>
      <c r="S105" s="26" t="inlineStr">
        <is>
          <t>https://bulbapedia.bulbagarden.net/wiki/Marill_(TCG)</t>
        </is>
      </c>
    </row>
    <row r="106">
      <c r="A106" s="26" t="n">
        <v>105</v>
      </c>
      <c r="B106" s="26" t="inlineStr">
        <is>
          <t>Marill</t>
        </is>
      </c>
      <c r="C106" s="26" t="inlineStr">
        <is>
          <t>Marill</t>
        </is>
      </c>
      <c r="D106" s="26" t="inlineStr">
        <is>
          <t>English</t>
        </is>
      </c>
      <c r="E106" s="26" t="inlineStr">
        <is>
          <t>International</t>
        </is>
      </c>
      <c r="F106" s="26" t="inlineStr">
        <is>
          <t>Stellar Crown</t>
        </is>
      </c>
      <c r="G106" s="26" t="inlineStr">
        <is>
          <t>033/142</t>
        </is>
      </c>
      <c r="H106" s="26" t="inlineStr">
        <is>
          <t>Standard</t>
        </is>
      </c>
      <c r="I106" s="26" t="n"/>
      <c r="J106" s="26" t="n"/>
      <c r="K106" s="26" t="inlineStr">
        <is>
          <t>Out of print</t>
        </is>
      </c>
      <c r="L106" s="26" t="inlineStr">
        <is>
          <t>Buy the single. Start with TCGplayer/eBay or a local card show; bundle cheap cards from one seller.</t>
        </is>
      </c>
      <c r="M106" s="26" t="inlineStr">
        <is>
          <t>Marill 033/142 Stellar Crown English Standard</t>
        </is>
      </c>
      <c r="N106" s="26" t="inlineStr">
        <is>
          <t>Easy</t>
        </is>
      </c>
      <c r="O106" s="26" t="inlineStr">
        <is>
          <t>NEED</t>
        </is>
      </c>
      <c r="P106" s="26" t="n">
        <v>0</v>
      </c>
      <c r="Q106" s="26" t="n"/>
      <c r="R106" s="26" t="inlineStr">
        <is>
          <t>add official reverse/holo counterpart if issued; add official reverse/holo counterpart if issued; add official reverse/holo counterpart if issued; StableKey=AZF-105</t>
        </is>
      </c>
      <c r="S106" s="26" t="inlineStr">
        <is>
          <t>https://bulbapedia.bulbagarden.net/wiki/Marill_(TCG)</t>
        </is>
      </c>
    </row>
    <row r="107">
      <c r="A107" s="26" t="n">
        <v>106</v>
      </c>
      <c r="B107" s="26" t="inlineStr">
        <is>
          <t>Marill</t>
        </is>
      </c>
      <c r="C107" s="26" t="inlineStr">
        <is>
          <t>Marill</t>
        </is>
      </c>
      <c r="D107" s="26" t="inlineStr">
        <is>
          <t>English</t>
        </is>
      </c>
      <c r="E107" s="26" t="inlineStr">
        <is>
          <t>International</t>
        </is>
      </c>
      <c r="F107" s="26" t="inlineStr">
        <is>
          <t>Stellar Crown</t>
        </is>
      </c>
      <c r="G107" s="26" t="inlineStr">
        <is>
          <t>033/142</t>
        </is>
      </c>
      <c r="H107" s="26" t="inlineStr">
        <is>
          <t>Reverse Holo</t>
        </is>
      </c>
      <c r="I107" s="26" t="inlineStr">
        <is>
          <t>Reverse Holo</t>
        </is>
      </c>
      <c r="J107" s="26" t="n"/>
      <c r="K107" s="26" t="inlineStr">
        <is>
          <t>Out of print</t>
        </is>
      </c>
      <c r="L107" s="26" t="inlineStr">
        <is>
          <t>Buy the single. Start with TCGplayer/eBay or a local card show; bundle cheap cards from one seller.</t>
        </is>
      </c>
      <c r="M107" s="26" t="inlineStr">
        <is>
          <t>Marill 033/142 Stellar Crown English Reverse Holo</t>
        </is>
      </c>
      <c r="N107" s="26" t="inlineStr">
        <is>
          <t>Easy</t>
        </is>
      </c>
      <c r="O107" s="26" t="inlineStr">
        <is>
          <t>NEED</t>
        </is>
      </c>
      <c r="P107" s="26" t="n">
        <v>0</v>
      </c>
      <c r="Q107" s="26" t="n"/>
      <c r="R107" s="26" t="inlineStr">
        <is>
          <t>add official reverse/holo counterpart if issued; add official reverse/holo counterpart if issued; add official reverse/holo counterpart if issued; StableKey=AZF-106</t>
        </is>
      </c>
      <c r="S107" s="26" t="inlineStr">
        <is>
          <t>https://bulbapedia.bulbagarden.net/wiki/Marill_(TCG)</t>
        </is>
      </c>
    </row>
    <row r="108">
      <c r="A108" s="26" t="n">
        <v>107</v>
      </c>
      <c r="B108" s="26" t="inlineStr">
        <is>
          <t>Marill</t>
        </is>
      </c>
      <c r="C108" s="26" t="inlineStr">
        <is>
          <t>Marill</t>
        </is>
      </c>
      <c r="D108" s="26" t="inlineStr">
        <is>
          <t>Spanish</t>
        </is>
      </c>
      <c r="E108" s="26" t="inlineStr">
        <is>
          <t>International</t>
        </is>
      </c>
      <c r="F108" s="26" t="inlineStr">
        <is>
          <t>Stellar Crown</t>
        </is>
      </c>
      <c r="G108" s="26" t="inlineStr">
        <is>
          <t>033/142</t>
        </is>
      </c>
      <c r="H108" s="26" t="inlineStr">
        <is>
          <t>Standard</t>
        </is>
      </c>
      <c r="I108" s="26" t="n"/>
      <c r="J108" s="26" t="n"/>
      <c r="K108" s="26" t="inlineStr">
        <is>
          <t>Out of print</t>
        </is>
      </c>
      <c r="L108" s="26" t="inlineStr">
        <is>
          <t>Buy the Spanish single. Cardmarket/eBay are usually best; filter Language = Spanish and bundle orders.</t>
        </is>
      </c>
      <c r="M108" s="26" t="inlineStr">
        <is>
          <t>Marill 033/142 Stellar Crown Spanish Standard</t>
        </is>
      </c>
      <c r="N108" s="26" t="inlineStr">
        <is>
          <t>Medium</t>
        </is>
      </c>
      <c r="O108" s="26" t="inlineStr">
        <is>
          <t>NEED</t>
        </is>
      </c>
      <c r="P108" s="26" t="n">
        <v>0</v>
      </c>
      <c r="Q108" s="26" t="n"/>
      <c r="R108" s="26" t="inlineStr">
        <is>
          <t>add official reverse/holo counterpart if issued; add official reverse/holo counterpart if issued; add official reverse/holo counterpart if issued; StableKey=AZF-107</t>
        </is>
      </c>
      <c r="S108" s="26" t="inlineStr">
        <is>
          <t>https://bulbapedia.bulbagarden.net/wiki/Marill_(TCG)</t>
        </is>
      </c>
    </row>
    <row r="109">
      <c r="A109" s="26" t="n">
        <v>108</v>
      </c>
      <c r="B109" s="26" t="inlineStr">
        <is>
          <t>Marill</t>
        </is>
      </c>
      <c r="C109" s="26" t="inlineStr">
        <is>
          <t>Marill</t>
        </is>
      </c>
      <c r="D109" s="26" t="inlineStr">
        <is>
          <t>Spanish</t>
        </is>
      </c>
      <c r="E109" s="26" t="inlineStr">
        <is>
          <t>International</t>
        </is>
      </c>
      <c r="F109" s="26" t="inlineStr">
        <is>
          <t>Stellar Crown</t>
        </is>
      </c>
      <c r="G109" s="26" t="inlineStr">
        <is>
          <t>033/142</t>
        </is>
      </c>
      <c r="H109" s="26" t="inlineStr">
        <is>
          <t>Reverse Holo</t>
        </is>
      </c>
      <c r="I109" s="26" t="inlineStr">
        <is>
          <t>Reverse Holo</t>
        </is>
      </c>
      <c r="J109" s="26" t="n"/>
      <c r="K109" s="26" t="inlineStr">
        <is>
          <t>Out of print</t>
        </is>
      </c>
      <c r="L109" s="26" t="inlineStr">
        <is>
          <t>Buy the Spanish single. Cardmarket/eBay are usually best; filter Language = Spanish and bundle orders.</t>
        </is>
      </c>
      <c r="M109" s="26" t="inlineStr">
        <is>
          <t>Marill 033/142 Stellar Crown Spanish Reverse Holo</t>
        </is>
      </c>
      <c r="N109" s="26" t="inlineStr">
        <is>
          <t>Medium</t>
        </is>
      </c>
      <c r="O109" s="26" t="inlineStr">
        <is>
          <t>NEED</t>
        </is>
      </c>
      <c r="P109" s="26" t="n">
        <v>0</v>
      </c>
      <c r="Q109" s="26" t="n"/>
      <c r="R109" s="26" t="inlineStr">
        <is>
          <t>add official reverse/holo counterpart if issued; add official reverse/holo counterpart if issued; add official reverse/holo counterpart if issued; StableKey=AZF-108</t>
        </is>
      </c>
      <c r="S109" s="26" t="inlineStr">
        <is>
          <t>https://bulbapedia.bulbagarden.net/wiki/Marill_(TCG)</t>
        </is>
      </c>
    </row>
    <row r="110">
      <c r="A110" s="26" t="n">
        <v>109</v>
      </c>
      <c r="B110" s="26" t="inlineStr">
        <is>
          <t>Marill</t>
        </is>
      </c>
      <c r="C110" s="26" t="inlineStr">
        <is>
          <t>Marill</t>
        </is>
      </c>
      <c r="D110" s="26" t="inlineStr">
        <is>
          <t>Japanese</t>
        </is>
      </c>
      <c r="E110" s="26" t="inlineStr">
        <is>
          <t>Japan</t>
        </is>
      </c>
      <c r="F110" s="26" t="inlineStr">
        <is>
          <t>Pokémon Card Game Battle Academy</t>
        </is>
      </c>
      <c r="G110" s="26" t="inlineStr">
        <is>
          <t>013/066</t>
        </is>
      </c>
      <c r="H110" s="26" t="inlineStr">
        <is>
          <t>Standard</t>
        </is>
      </c>
      <c r="I110" s="26" t="n"/>
      <c r="J110" s="26" t="n"/>
      <c r="K110" s="26" t="inlineStr">
        <is>
          <t>Out of print</t>
        </is>
      </c>
      <c r="L110" s="26" t="inlineStr">
        <is>
          <t>Buy the Japanese single. Use eBay/Cardmarket or Mercari/Yahoo Japan through a proxy; bundle proxy orders.</t>
        </is>
      </c>
      <c r="M110" s="26" t="inlineStr">
        <is>
          <t>Marill 013/066 Pokémon Card Game Battle Academy Japanese Standard</t>
        </is>
      </c>
      <c r="N110" s="26" t="inlineStr">
        <is>
          <t>Medium</t>
        </is>
      </c>
      <c r="O110" s="26" t="inlineStr">
        <is>
          <t>NEED</t>
        </is>
      </c>
      <c r="P110" s="26" t="n">
        <v>0</v>
      </c>
      <c r="Q110" s="26" t="n"/>
      <c r="R110" s="26" t="inlineStr">
        <is>
          <t>StableKey=AZF-109</t>
        </is>
      </c>
      <c r="S110" s="26" t="inlineStr">
        <is>
          <t>https://bulbapedia.bulbagarden.net/wiki/Marill_(TCG)</t>
        </is>
      </c>
    </row>
    <row r="111">
      <c r="A111" s="26" t="n">
        <v>110</v>
      </c>
      <c r="B111" s="26" t="inlineStr">
        <is>
          <t>Marill</t>
        </is>
      </c>
      <c r="C111" s="26" t="inlineStr">
        <is>
          <t>Marill</t>
        </is>
      </c>
      <c r="D111" s="26" t="inlineStr">
        <is>
          <t>English</t>
        </is>
      </c>
      <c r="E111" s="26" t="inlineStr">
        <is>
          <t>International</t>
        </is>
      </c>
      <c r="F111" s="26" t="inlineStr">
        <is>
          <t>Surging Sparks</t>
        </is>
      </c>
      <c r="G111" s="26" t="inlineStr">
        <is>
          <t>073/191</t>
        </is>
      </c>
      <c r="H111" s="26" t="inlineStr">
        <is>
          <t>Standard</t>
        </is>
      </c>
      <c r="I111" s="26" t="n"/>
      <c r="J111" s="26" t="n"/>
      <c r="K111" s="26" t="inlineStr">
        <is>
          <t>Out of print</t>
        </is>
      </c>
      <c r="L111" s="26" t="inlineStr">
        <is>
          <t>Buy the single. Start with TCGplayer/eBay or a local card show; bundle cheap cards from one seller.</t>
        </is>
      </c>
      <c r="M111" s="26" t="inlineStr">
        <is>
          <t>Marill 073/191 Surging Sparks English Standard</t>
        </is>
      </c>
      <c r="N111" s="26" t="inlineStr">
        <is>
          <t>Easy</t>
        </is>
      </c>
      <c r="O111" s="26" t="inlineStr">
        <is>
          <t>NEED</t>
        </is>
      </c>
      <c r="P111" s="26" t="n">
        <v>0</v>
      </c>
      <c r="Q111" s="26" t="n"/>
      <c r="R111" s="26" t="inlineStr">
        <is>
          <t>add official reverse/holo counterpart if issued; add official reverse/holo counterpart if issued; add official reverse/holo counterpart if issued; StableKey=AZF-110</t>
        </is>
      </c>
      <c r="S111" s="26" t="inlineStr">
        <is>
          <t>https://bulbapedia.bulbagarden.net/wiki/Marill_(TCG)</t>
        </is>
      </c>
    </row>
    <row r="112">
      <c r="A112" s="26" t="n">
        <v>111</v>
      </c>
      <c r="B112" s="26" t="inlineStr">
        <is>
          <t>Marill</t>
        </is>
      </c>
      <c r="C112" s="26" t="inlineStr">
        <is>
          <t>Marill</t>
        </is>
      </c>
      <c r="D112" s="26" t="inlineStr">
        <is>
          <t>English</t>
        </is>
      </c>
      <c r="E112" s="26" t="inlineStr">
        <is>
          <t>International</t>
        </is>
      </c>
      <c r="F112" s="26" t="inlineStr">
        <is>
          <t>Surging Sparks</t>
        </is>
      </c>
      <c r="G112" s="26" t="inlineStr">
        <is>
          <t>073/191</t>
        </is>
      </c>
      <c r="H112" s="26" t="inlineStr">
        <is>
          <t>Reverse Holo</t>
        </is>
      </c>
      <c r="I112" s="26" t="inlineStr">
        <is>
          <t>Reverse Holo</t>
        </is>
      </c>
      <c r="J112" s="26" t="n"/>
      <c r="K112" s="26" t="inlineStr">
        <is>
          <t>Out of print</t>
        </is>
      </c>
      <c r="L112" s="26" t="inlineStr">
        <is>
          <t>Buy the single. Start with TCGplayer/eBay or a local card show; bundle cheap cards from one seller.</t>
        </is>
      </c>
      <c r="M112" s="26" t="inlineStr">
        <is>
          <t>Marill 073/191 Surging Sparks English Reverse Holo</t>
        </is>
      </c>
      <c r="N112" s="26" t="inlineStr">
        <is>
          <t>Easy</t>
        </is>
      </c>
      <c r="O112" s="26" t="inlineStr">
        <is>
          <t>NEED</t>
        </is>
      </c>
      <c r="P112" s="26" t="n">
        <v>0</v>
      </c>
      <c r="Q112" s="26" t="n"/>
      <c r="R112" s="26" t="inlineStr">
        <is>
          <t>add official reverse/holo counterpart if issued; add official reverse/holo counterpart if issued; add official reverse/holo counterpart if issued; StableKey=AZF-111</t>
        </is>
      </c>
      <c r="S112" s="26" t="inlineStr">
        <is>
          <t>https://bulbapedia.bulbagarden.net/wiki/Marill_(TCG)</t>
        </is>
      </c>
    </row>
    <row r="113">
      <c r="A113" s="26" t="n">
        <v>112</v>
      </c>
      <c r="B113" s="26" t="inlineStr">
        <is>
          <t>Marill</t>
        </is>
      </c>
      <c r="C113" s="26" t="inlineStr">
        <is>
          <t>Marill</t>
        </is>
      </c>
      <c r="D113" s="26" t="inlineStr">
        <is>
          <t>Spanish</t>
        </is>
      </c>
      <c r="E113" s="26" t="inlineStr">
        <is>
          <t>International</t>
        </is>
      </c>
      <c r="F113" s="26" t="inlineStr">
        <is>
          <t>Surging Sparks</t>
        </is>
      </c>
      <c r="G113" s="26" t="inlineStr">
        <is>
          <t>073/191</t>
        </is>
      </c>
      <c r="H113" s="26" t="inlineStr">
        <is>
          <t>Standard</t>
        </is>
      </c>
      <c r="I113" s="26" t="n"/>
      <c r="J113" s="26" t="n"/>
      <c r="K113" s="26" t="inlineStr">
        <is>
          <t>Out of print</t>
        </is>
      </c>
      <c r="L113" s="26" t="inlineStr">
        <is>
          <t>Buy the Spanish single. Cardmarket/eBay are usually best; filter Language = Spanish and bundle orders.</t>
        </is>
      </c>
      <c r="M113" s="26" t="inlineStr">
        <is>
          <t>Marill 073/191 Surging Sparks Spanish Standard</t>
        </is>
      </c>
      <c r="N113" s="26" t="inlineStr">
        <is>
          <t>Medium</t>
        </is>
      </c>
      <c r="O113" s="26" t="inlineStr">
        <is>
          <t>NEED</t>
        </is>
      </c>
      <c r="P113" s="26" t="n">
        <v>0</v>
      </c>
      <c r="Q113" s="26" t="n"/>
      <c r="R113" s="26" t="inlineStr">
        <is>
          <t>add official reverse/holo counterpart if issued; add official reverse/holo counterpart if issued; add official reverse/holo counterpart if issued; StableKey=AZF-112</t>
        </is>
      </c>
      <c r="S113" s="26" t="inlineStr">
        <is>
          <t>https://bulbapedia.bulbagarden.net/wiki/Marill_(TCG)</t>
        </is>
      </c>
    </row>
    <row r="114">
      <c r="A114" s="26" t="n">
        <v>113</v>
      </c>
      <c r="B114" s="26" t="inlineStr">
        <is>
          <t>Marill</t>
        </is>
      </c>
      <c r="C114" s="26" t="inlineStr">
        <is>
          <t>Marill</t>
        </is>
      </c>
      <c r="D114" s="26" t="inlineStr">
        <is>
          <t>Spanish</t>
        </is>
      </c>
      <c r="E114" s="26" t="inlineStr">
        <is>
          <t>International</t>
        </is>
      </c>
      <c r="F114" s="26" t="inlineStr">
        <is>
          <t>Surging Sparks</t>
        </is>
      </c>
      <c r="G114" s="26" t="inlineStr">
        <is>
          <t>073/191</t>
        </is>
      </c>
      <c r="H114" s="26" t="inlineStr">
        <is>
          <t>Reverse Holo</t>
        </is>
      </c>
      <c r="I114" s="26" t="inlineStr">
        <is>
          <t>Reverse Holo</t>
        </is>
      </c>
      <c r="J114" s="26" t="n"/>
      <c r="K114" s="26" t="inlineStr">
        <is>
          <t>Out of print</t>
        </is>
      </c>
      <c r="L114" s="26" t="inlineStr">
        <is>
          <t>Buy the Spanish single. Cardmarket/eBay are usually best; filter Language = Spanish and bundle orders.</t>
        </is>
      </c>
      <c r="M114" s="26" t="inlineStr">
        <is>
          <t>Marill 073/191 Surging Sparks Spanish Reverse Holo</t>
        </is>
      </c>
      <c r="N114" s="26" t="inlineStr">
        <is>
          <t>Medium</t>
        </is>
      </c>
      <c r="O114" s="26" t="inlineStr">
        <is>
          <t>NEED</t>
        </is>
      </c>
      <c r="P114" s="26" t="n">
        <v>0</v>
      </c>
      <c r="Q114" s="26" t="n"/>
      <c r="R114" s="26" t="inlineStr">
        <is>
          <t>add official reverse/holo counterpart if issued; add official reverse/holo counterpart if issued; add official reverse/holo counterpart if issued; StableKey=AZF-113</t>
        </is>
      </c>
      <c r="S114" s="26" t="inlineStr">
        <is>
          <t>https://bulbapedia.bulbagarden.net/wiki/Marill_(TCG)</t>
        </is>
      </c>
    </row>
    <row r="115">
      <c r="A115" s="26" t="n">
        <v>114</v>
      </c>
      <c r="B115" s="26" t="inlineStr">
        <is>
          <t>Marill</t>
        </is>
      </c>
      <c r="C115" s="26" t="inlineStr">
        <is>
          <t>Marill</t>
        </is>
      </c>
      <c r="D115" s="26" t="inlineStr">
        <is>
          <t>Japanese</t>
        </is>
      </c>
      <c r="E115" s="26" t="inlineStr">
        <is>
          <t>Japan</t>
        </is>
      </c>
      <c r="F115" s="26" t="inlineStr">
        <is>
          <t>Stellar Tera Type Starter Set Sylveon ex</t>
        </is>
      </c>
      <c r="G115" s="26" t="inlineStr">
        <is>
          <t>003/022</t>
        </is>
      </c>
      <c r="H115" s="26" t="inlineStr">
        <is>
          <t>Standard</t>
        </is>
      </c>
      <c r="I115" s="26" t="n"/>
      <c r="J115" s="26" t="n"/>
      <c r="K115" s="26" t="inlineStr">
        <is>
          <t>Out of print</t>
        </is>
      </c>
      <c r="L115" s="26" t="inlineStr">
        <is>
          <t>Buy the Japanese single. Use eBay/Cardmarket or Mercari/Yahoo Japan through a proxy; bundle proxy orders.</t>
        </is>
      </c>
      <c r="M115" s="26" t="inlineStr">
        <is>
          <t>Marill 003/022 Stellar Tera Type Starter Set Sylveon ex Japanese Standard</t>
        </is>
      </c>
      <c r="N115" s="26" t="inlineStr">
        <is>
          <t>Medium</t>
        </is>
      </c>
      <c r="O115" s="26" t="inlineStr">
        <is>
          <t>NEED</t>
        </is>
      </c>
      <c r="P115" s="26" t="n">
        <v>0</v>
      </c>
      <c r="Q115" s="26" t="n"/>
      <c r="R115" s="26" t="inlineStr">
        <is>
          <t>StableKey=AZF-114</t>
        </is>
      </c>
      <c r="S115" s="26" t="inlineStr">
        <is>
          <t>https://bulbapedia.bulbagarden.net/wiki/Marill_(TCG)</t>
        </is>
      </c>
    </row>
    <row r="116">
      <c r="A116" s="26" t="n">
        <v>115</v>
      </c>
      <c r="B116" s="26" t="inlineStr">
        <is>
          <t>Marill</t>
        </is>
      </c>
      <c r="C116" s="26" t="inlineStr">
        <is>
          <t>Marill</t>
        </is>
      </c>
      <c r="D116" s="26" t="inlineStr">
        <is>
          <t>English</t>
        </is>
      </c>
      <c r="E116" s="26" t="inlineStr">
        <is>
          <t>International</t>
        </is>
      </c>
      <c r="F116" s="26" t="inlineStr">
        <is>
          <t>Ascended Heroes</t>
        </is>
      </c>
      <c r="G116" s="26" t="inlineStr">
        <is>
          <t>083/217</t>
        </is>
      </c>
      <c r="H116" s="26" t="inlineStr">
        <is>
          <t>Regular</t>
        </is>
      </c>
      <c r="I116" s="26" t="n"/>
      <c r="J116" s="26" t="inlineStr">
        <is>
          <t>Current era</t>
        </is>
      </c>
      <c r="K116" s="26" t="inlineStr">
        <is>
          <t>Current sealed possible</t>
        </is>
      </c>
      <c r="L116" s="26" t="inlineStr">
        <is>
          <t>Packs are possible, but buy the single if completion is the goal.</t>
        </is>
      </c>
      <c r="M116" s="26" t="inlineStr">
        <is>
          <t>Marill 083/217 Ascended Heroes English Regular</t>
        </is>
      </c>
      <c r="N116" s="26" t="inlineStr">
        <is>
          <t>Easy</t>
        </is>
      </c>
      <c r="O116" s="26" t="inlineStr">
        <is>
          <t>NEED</t>
        </is>
      </c>
      <c r="P116" s="26" t="n">
        <v>0</v>
      </c>
      <c r="Q116" s="26" t="n"/>
      <c r="R116" s="26" t="inlineStr">
        <is>
          <t>add official reverse/holo counterpart if issued; add official reverse/holo counterpart if issued; add official reverse/holo counterpart if issued; StableKey=AZF-115</t>
        </is>
      </c>
      <c r="S116" s="26" t="inlineStr">
        <is>
          <t>https://bulbapedia.bulbagarden.net/wiki/Marill_(Ascended_Heroes_83)</t>
        </is>
      </c>
    </row>
    <row r="117">
      <c r="A117" s="26" t="n">
        <v>116</v>
      </c>
      <c r="B117" s="26" t="inlineStr">
        <is>
          <t>Marill</t>
        </is>
      </c>
      <c r="C117" s="26" t="inlineStr">
        <is>
          <t>Marill</t>
        </is>
      </c>
      <c r="D117" s="26" t="inlineStr">
        <is>
          <t>English</t>
        </is>
      </c>
      <c r="E117" s="26" t="inlineStr">
        <is>
          <t>International</t>
        </is>
      </c>
      <c r="F117" s="26" t="inlineStr">
        <is>
          <t>Ascended Heroes</t>
        </is>
      </c>
      <c r="G117" s="26" t="inlineStr">
        <is>
          <t>083/217</t>
        </is>
      </c>
      <c r="H117" s="26" t="inlineStr">
        <is>
          <t>Psychic Energy Mirror Holo</t>
        </is>
      </c>
      <c r="I117" s="26" t="inlineStr">
        <is>
          <t>Parallel Holofoil</t>
        </is>
      </c>
      <c r="J117" s="26" t="inlineStr">
        <is>
          <t>Current era</t>
        </is>
      </c>
      <c r="K117" s="26" t="inlineStr">
        <is>
          <t>Current sealed possible</t>
        </is>
      </c>
      <c r="L117" s="26" t="inlineStr">
        <is>
          <t>Packs are possible, but buy the single if completion is the goal.</t>
        </is>
      </c>
      <c r="M117" s="26" t="inlineStr">
        <is>
          <t>Marill 083/217 Ascended Heroes English Psychic Energy Mirror Holo</t>
        </is>
      </c>
      <c r="N117" s="26" t="inlineStr">
        <is>
          <t>Easy</t>
        </is>
      </c>
      <c r="O117" s="26" t="inlineStr">
        <is>
          <t>NEED</t>
        </is>
      </c>
      <c r="P117" s="26" t="n">
        <v>0</v>
      </c>
      <c r="Q117" s="26" t="n"/>
      <c r="R117" s="26" t="inlineStr">
        <is>
          <t>add official reverse/holo counterpart if issued; add official reverse/holo counterpart if issued; add official reverse/holo counterpart if issued; StableKey=AZF-116</t>
        </is>
      </c>
      <c r="S117" s="26" t="inlineStr">
        <is>
          <t>https://bulbapedia.bulbagarden.net/wiki/Marill_(Ascended_Heroes_83)</t>
        </is>
      </c>
    </row>
    <row r="118">
      <c r="A118" s="26" t="n">
        <v>117</v>
      </c>
      <c r="B118" s="26" t="inlineStr">
        <is>
          <t>Marill</t>
        </is>
      </c>
      <c r="C118" s="26" t="inlineStr">
        <is>
          <t>Marill</t>
        </is>
      </c>
      <c r="D118" s="26" t="inlineStr">
        <is>
          <t>English</t>
        </is>
      </c>
      <c r="E118" s="26" t="inlineStr">
        <is>
          <t>International</t>
        </is>
      </c>
      <c r="F118" s="26" t="inlineStr">
        <is>
          <t>Ascended Heroes</t>
        </is>
      </c>
      <c r="G118" s="26" t="inlineStr">
        <is>
          <t>083/217</t>
        </is>
      </c>
      <c r="H118" s="26" t="inlineStr">
        <is>
          <t>Friend Ball Mirror Holo</t>
        </is>
      </c>
      <c r="I118" s="26" t="inlineStr">
        <is>
          <t>Parallel Holofoil</t>
        </is>
      </c>
      <c r="J118" s="26" t="inlineStr">
        <is>
          <t>Current era</t>
        </is>
      </c>
      <c r="K118" s="26" t="inlineStr">
        <is>
          <t>Current sealed possible</t>
        </is>
      </c>
      <c r="L118" s="26" t="inlineStr">
        <is>
          <t>Packs are possible, but buy the single if completion is the goal.</t>
        </is>
      </c>
      <c r="M118" s="26" t="inlineStr">
        <is>
          <t>Marill 083/217 Ascended Heroes English Friend Ball Mirror Holo</t>
        </is>
      </c>
      <c r="N118" s="26" t="inlineStr">
        <is>
          <t>Easy</t>
        </is>
      </c>
      <c r="O118" s="26" t="inlineStr">
        <is>
          <t>NEED</t>
        </is>
      </c>
      <c r="P118" s="26" t="n">
        <v>0</v>
      </c>
      <c r="Q118" s="26" t="n"/>
      <c r="R118" s="26" t="inlineStr">
        <is>
          <t>add official reverse/holo counterpart if issued; add official reverse/holo counterpart if issued; add official reverse/holo counterpart if issued; StableKey=AZF-117</t>
        </is>
      </c>
      <c r="S118" s="26" t="inlineStr">
        <is>
          <t>https://bulbapedia.bulbagarden.net/wiki/Marill_(Ascended_Heroes_83)</t>
        </is>
      </c>
    </row>
    <row r="119">
      <c r="A119" s="26" t="n">
        <v>118</v>
      </c>
      <c r="B119" s="26" t="inlineStr">
        <is>
          <t>Marill</t>
        </is>
      </c>
      <c r="C119" s="26" t="inlineStr">
        <is>
          <t>Marill</t>
        </is>
      </c>
      <c r="D119" s="26" t="inlineStr">
        <is>
          <t>Spanish</t>
        </is>
      </c>
      <c r="E119" s="26" t="inlineStr">
        <is>
          <t>International</t>
        </is>
      </c>
      <c r="F119" s="26" t="inlineStr">
        <is>
          <t>Ascended Heroes</t>
        </is>
      </c>
      <c r="G119" s="26" t="inlineStr">
        <is>
          <t>083/217</t>
        </is>
      </c>
      <c r="H119" s="26" t="inlineStr">
        <is>
          <t>Regular</t>
        </is>
      </c>
      <c r="I119" s="26" t="n"/>
      <c r="J119" s="26" t="inlineStr">
        <is>
          <t>Current era</t>
        </is>
      </c>
      <c r="K119" s="26" t="inlineStr">
        <is>
          <t>Current sealed possible</t>
        </is>
      </c>
      <c r="L119" s="26" t="inlineStr">
        <is>
          <t>Packs are possible, but buy the single if completion is the goal.</t>
        </is>
      </c>
      <c r="M119" s="26" t="inlineStr">
        <is>
          <t>Marill 083/217 Ascended Heroes Spanish Regular</t>
        </is>
      </c>
      <c r="N119" s="26" t="inlineStr">
        <is>
          <t>Medium</t>
        </is>
      </c>
      <c r="O119" s="26" t="inlineStr">
        <is>
          <t>NEED</t>
        </is>
      </c>
      <c r="P119" s="26" t="n">
        <v>0</v>
      </c>
      <c r="Q119" s="26" t="n"/>
      <c r="R119" s="26" t="inlineStr">
        <is>
          <t>add official reverse/holo counterpart if issued; add official reverse/holo counterpart if issued; Spanish physical release not yet verified as of 2026-08-10; add official reverse/holo counterpart if issued; StableKey=AZF-118</t>
        </is>
      </c>
      <c r="S119" s="26" t="inlineStr">
        <is>
          <t>https://bulbapedia.bulbagarden.net/wiki/Marill_(Ascended_Heroes_83)</t>
        </is>
      </c>
    </row>
    <row r="120">
      <c r="A120" s="26" t="n">
        <v>119</v>
      </c>
      <c r="B120" s="26" t="inlineStr">
        <is>
          <t>Marill</t>
        </is>
      </c>
      <c r="C120" s="26" t="inlineStr">
        <is>
          <t>Marill</t>
        </is>
      </c>
      <c r="D120" s="26" t="inlineStr">
        <is>
          <t>Spanish</t>
        </is>
      </c>
      <c r="E120" s="26" t="inlineStr">
        <is>
          <t>International</t>
        </is>
      </c>
      <c r="F120" s="26" t="inlineStr">
        <is>
          <t>Ascended Heroes</t>
        </is>
      </c>
      <c r="G120" s="26" t="inlineStr">
        <is>
          <t>083/217</t>
        </is>
      </c>
      <c r="H120" s="26" t="inlineStr">
        <is>
          <t>Psychic Energy Mirror Holo</t>
        </is>
      </c>
      <c r="I120" s="26" t="inlineStr">
        <is>
          <t>Parallel Holofoil</t>
        </is>
      </c>
      <c r="J120" s="26" t="inlineStr">
        <is>
          <t>Current era</t>
        </is>
      </c>
      <c r="K120" s="26" t="inlineStr">
        <is>
          <t>Current sealed possible</t>
        </is>
      </c>
      <c r="L120" s="26" t="inlineStr">
        <is>
          <t>Packs are possible, but buy the single if completion is the goal.</t>
        </is>
      </c>
      <c r="M120" s="26" t="inlineStr">
        <is>
          <t>Marill 083/217 Ascended Heroes Spanish Psychic Energy Mirror Holo</t>
        </is>
      </c>
      <c r="N120" s="26" t="inlineStr">
        <is>
          <t>Medium</t>
        </is>
      </c>
      <c r="O120" s="26" t="inlineStr">
        <is>
          <t>NEED</t>
        </is>
      </c>
      <c r="P120" s="26" t="n">
        <v>0</v>
      </c>
      <c r="Q120" s="26" t="n"/>
      <c r="R120" s="26" t="inlineStr">
        <is>
          <t>add official reverse/holo counterpart if issued; add official reverse/holo counterpart if issued; Spanish physical release not yet verified as of 2026-08-10; add official reverse/holo counterpart if issued; StableKey=AZF-119</t>
        </is>
      </c>
      <c r="S120" s="26" t="inlineStr">
        <is>
          <t>https://bulbapedia.bulbagarden.net/wiki/Marill_(Ascended_Heroes_83)</t>
        </is>
      </c>
    </row>
    <row r="121">
      <c r="A121" s="26" t="n">
        <v>120</v>
      </c>
      <c r="B121" s="26" t="inlineStr">
        <is>
          <t>Marill</t>
        </is>
      </c>
      <c r="C121" s="26" t="inlineStr">
        <is>
          <t>Marill</t>
        </is>
      </c>
      <c r="D121" s="26" t="inlineStr">
        <is>
          <t>Spanish</t>
        </is>
      </c>
      <c r="E121" s="26" t="inlineStr">
        <is>
          <t>International</t>
        </is>
      </c>
      <c r="F121" s="26" t="inlineStr">
        <is>
          <t>Ascended Heroes</t>
        </is>
      </c>
      <c r="G121" s="26" t="inlineStr">
        <is>
          <t>083/217</t>
        </is>
      </c>
      <c r="H121" s="26" t="inlineStr">
        <is>
          <t>Friend Ball Mirror Holo</t>
        </is>
      </c>
      <c r="I121" s="26" t="inlineStr">
        <is>
          <t>Parallel Holofoil</t>
        </is>
      </c>
      <c r="J121" s="26" t="inlineStr">
        <is>
          <t>Current era</t>
        </is>
      </c>
      <c r="K121" s="26" t="inlineStr">
        <is>
          <t>Current sealed possible</t>
        </is>
      </c>
      <c r="L121" s="26" t="inlineStr">
        <is>
          <t>Packs are possible, but buy the single if completion is the goal.</t>
        </is>
      </c>
      <c r="M121" s="26" t="inlineStr">
        <is>
          <t>Marill 083/217 Ascended Heroes Spanish Friend Ball Mirror Holo</t>
        </is>
      </c>
      <c r="N121" s="26" t="inlineStr">
        <is>
          <t>Medium</t>
        </is>
      </c>
      <c r="O121" s="26" t="inlineStr">
        <is>
          <t>NEED</t>
        </is>
      </c>
      <c r="P121" s="26" t="n">
        <v>0</v>
      </c>
      <c r="Q121" s="26" t="n"/>
      <c r="R121" s="26" t="inlineStr">
        <is>
          <t>add official reverse/holo counterpart if issued; add official reverse/holo counterpart if issued; Spanish physical release not yet verified as of 2026-08-10; add official reverse/holo counterpart if issued; StableKey=AZF-120</t>
        </is>
      </c>
      <c r="S121" s="26" t="inlineStr">
        <is>
          <t>https://bulbapedia.bulbagarden.net/wiki/Marill_(Ascended_Heroes_83)</t>
        </is>
      </c>
    </row>
    <row r="122">
      <c r="A122" s="26" t="n">
        <v>121</v>
      </c>
      <c r="B122" s="26" t="inlineStr">
        <is>
          <t>Marill</t>
        </is>
      </c>
      <c r="C122" s="26" t="inlineStr">
        <is>
          <t>Marill</t>
        </is>
      </c>
      <c r="D122" s="26" t="inlineStr">
        <is>
          <t>Japanese</t>
        </is>
      </c>
      <c r="E122" s="26" t="inlineStr">
        <is>
          <t>Japan</t>
        </is>
      </c>
      <c r="F122" s="26" t="inlineStr">
        <is>
          <t>Start Deck 100 Battle Collection</t>
        </is>
      </c>
      <c r="G122" s="26" t="inlineStr">
        <is>
          <t>295/742</t>
        </is>
      </c>
      <c r="H122" s="26" t="inlineStr">
        <is>
          <t>Standard</t>
        </is>
      </c>
      <c r="I122" s="26" t="n"/>
      <c r="J122" s="26" t="inlineStr">
        <is>
          <t>Current era</t>
        </is>
      </c>
      <c r="K122" s="26" t="inlineStr">
        <is>
          <t>Current sealed possible</t>
        </is>
      </c>
      <c r="L122" s="26" t="inlineStr">
        <is>
          <t>Packs are possible, but buy the single if completion is the goal.</t>
        </is>
      </c>
      <c r="M122" s="26" t="inlineStr">
        <is>
          <t>Marill 295/742 Start Deck 100 Battle Collection Japanese Standard</t>
        </is>
      </c>
      <c r="N122" s="26" t="inlineStr">
        <is>
          <t>Medium</t>
        </is>
      </c>
      <c r="O122" s="26" t="inlineStr">
        <is>
          <t>NEED</t>
        </is>
      </c>
      <c r="P122" s="26" t="n">
        <v>0</v>
      </c>
      <c r="Q122" s="26" t="n"/>
      <c r="R122" s="26" t="inlineStr">
        <is>
          <t>StableKey=AZF-121</t>
        </is>
      </c>
      <c r="S122" s="26" t="inlineStr">
        <is>
          <t>https://bulbapedia.bulbagarden.net/wiki/Marill_(TCG)</t>
        </is>
      </c>
    </row>
    <row r="123">
      <c r="A123" s="26" t="n">
        <v>122</v>
      </c>
      <c r="B123" s="26" t="inlineStr">
        <is>
          <t>Marill</t>
        </is>
      </c>
      <c r="C123" s="26" t="inlineStr">
        <is>
          <t>Marill</t>
        </is>
      </c>
      <c r="D123" s="26" t="inlineStr">
        <is>
          <t>English</t>
        </is>
      </c>
      <c r="E123" s="26" t="inlineStr">
        <is>
          <t>International</t>
        </is>
      </c>
      <c r="F123" s="26" t="inlineStr">
        <is>
          <t>Ascended Heroes</t>
        </is>
      </c>
      <c r="G123" s="26" t="inlineStr">
        <is>
          <t>232/217</t>
        </is>
      </c>
      <c r="H123" s="26" t="inlineStr">
        <is>
          <t>Illustration Rare</t>
        </is>
      </c>
      <c r="I123" s="26" t="inlineStr">
        <is>
          <t>Illustration Rare</t>
        </is>
      </c>
      <c r="J123" s="26" t="inlineStr">
        <is>
          <t>Illustration Rare / Current era</t>
        </is>
      </c>
      <c r="K123" s="26" t="inlineStr">
        <is>
          <t>Current sealed possible</t>
        </is>
      </c>
      <c r="L123" s="26" t="inlineStr">
        <is>
          <t>Packs are possible, but buy the single if completion is the goal.</t>
        </is>
      </c>
      <c r="M123" s="26" t="inlineStr">
        <is>
          <t>Marill 232/217 Ascended Heroes English Illustration Rare</t>
        </is>
      </c>
      <c r="N123" s="26" t="inlineStr">
        <is>
          <t>Easy</t>
        </is>
      </c>
      <c r="O123" s="26" t="inlineStr">
        <is>
          <t>NEED</t>
        </is>
      </c>
      <c r="P123" s="26" t="n">
        <v>0</v>
      </c>
      <c r="Q123" s="26" t="n"/>
      <c r="R123" s="26" t="inlineStr">
        <is>
          <t>add official reverse/holo counterpart if issued; add official reverse/holo counterpart if issued; add official reverse/holo counterpart if issued; StableKey=AZF-122</t>
        </is>
      </c>
      <c r="S123" s="26" t="inlineStr">
        <is>
          <t>https://bulbapedia.bulbagarden.net/wiki/Marill_(TCG)</t>
        </is>
      </c>
    </row>
    <row r="124">
      <c r="A124" s="26" t="n">
        <v>123</v>
      </c>
      <c r="B124" s="26" t="inlineStr">
        <is>
          <t>Marill</t>
        </is>
      </c>
      <c r="C124" s="26" t="inlineStr">
        <is>
          <t>Marill</t>
        </is>
      </c>
      <c r="D124" s="26" t="inlineStr">
        <is>
          <t>Spanish</t>
        </is>
      </c>
      <c r="E124" s="26" t="inlineStr">
        <is>
          <t>International</t>
        </is>
      </c>
      <c r="F124" s="26" t="inlineStr">
        <is>
          <t>Ascended Heroes</t>
        </is>
      </c>
      <c r="G124" s="26" t="inlineStr">
        <is>
          <t>232/217</t>
        </is>
      </c>
      <c r="H124" s="26" t="inlineStr">
        <is>
          <t>Illustration Rare</t>
        </is>
      </c>
      <c r="I124" s="26" t="inlineStr">
        <is>
          <t>Illustration Rare</t>
        </is>
      </c>
      <c r="J124" s="26" t="inlineStr">
        <is>
          <t>Illustration Rare / Current era</t>
        </is>
      </c>
      <c r="K124" s="26" t="inlineStr">
        <is>
          <t>Current sealed possible</t>
        </is>
      </c>
      <c r="L124" s="26" t="inlineStr">
        <is>
          <t>Packs are possible, but buy the single if completion is the goal.</t>
        </is>
      </c>
      <c r="M124" s="26" t="inlineStr">
        <is>
          <t>Marill 232/217 Ascended Heroes Spanish Illustration Rare</t>
        </is>
      </c>
      <c r="N124" s="26" t="inlineStr">
        <is>
          <t>Medium</t>
        </is>
      </c>
      <c r="O124" s="26" t="inlineStr">
        <is>
          <t>NEED</t>
        </is>
      </c>
      <c r="P124" s="26" t="n">
        <v>0</v>
      </c>
      <c r="Q124" s="26" t="n"/>
      <c r="R124" s="26" t="inlineStr">
        <is>
          <t>add official reverse/holo counterpart if issued; add official reverse/holo counterpart if issued; Spanish physical release not yet verified as of 2026-08-10; add official reverse/holo counterpart if issued; StableKey=AZF-123</t>
        </is>
      </c>
      <c r="S124" s="26" t="inlineStr">
        <is>
          <t>https://bulbapedia.bulbagarden.net/wiki/Ascended_Heroes_(TCG)</t>
        </is>
      </c>
    </row>
    <row r="125">
      <c r="A125" s="26" t="n">
        <v>124</v>
      </c>
      <c r="B125" s="26" t="inlineStr">
        <is>
          <t>Marill</t>
        </is>
      </c>
      <c r="C125" s="26" t="inlineStr">
        <is>
          <t>Marill</t>
        </is>
      </c>
      <c r="D125" s="26" t="inlineStr">
        <is>
          <t>Japanese</t>
        </is>
      </c>
      <c r="E125" s="26" t="inlineStr">
        <is>
          <t>Japan</t>
        </is>
      </c>
      <c r="F125" s="26" t="inlineStr">
        <is>
          <t>Start Deck 100 Battle Collection</t>
        </is>
      </c>
      <c r="G125" s="26" t="inlineStr">
        <is>
          <t>748/742</t>
        </is>
      </c>
      <c r="H125" s="26" t="inlineStr">
        <is>
          <t>Standard</t>
        </is>
      </c>
      <c r="I125" s="26" t="n"/>
      <c r="J125" s="26" t="inlineStr">
        <is>
          <t>Illustration Rare / Current era</t>
        </is>
      </c>
      <c r="K125" s="26" t="inlineStr">
        <is>
          <t>Current sealed possible</t>
        </is>
      </c>
      <c r="L125" s="26" t="inlineStr">
        <is>
          <t>Packs are possible, but buy the single if completion is the goal.</t>
        </is>
      </c>
      <c r="M125" s="26" t="inlineStr">
        <is>
          <t>Marill 748/742 Start Deck 100 Battle Collection Japanese Standard</t>
        </is>
      </c>
      <c r="N125" s="26" t="inlineStr">
        <is>
          <t>Medium</t>
        </is>
      </c>
      <c r="O125" s="26" t="inlineStr">
        <is>
          <t>NEED</t>
        </is>
      </c>
      <c r="P125" s="26" t="n">
        <v>0</v>
      </c>
      <c r="Q125" s="26" t="n"/>
      <c r="R125" s="26" t="inlineStr">
        <is>
          <t>StableKey=AZF-124</t>
        </is>
      </c>
      <c r="S125" s="26" t="inlineStr">
        <is>
          <t>https://bulbapedia.bulbagarden.net/wiki/Marill_(TCG)</t>
        </is>
      </c>
    </row>
    <row r="126">
      <c r="A126" s="26" t="n">
        <v>125</v>
      </c>
      <c r="B126" s="26" t="inlineStr">
        <is>
          <t>Marill</t>
        </is>
      </c>
      <c r="C126" s="26" t="inlineStr">
        <is>
          <t>Marill</t>
        </is>
      </c>
      <c r="D126" s="26" t="inlineStr">
        <is>
          <t>Japanese</t>
        </is>
      </c>
      <c r="E126" s="26" t="inlineStr">
        <is>
          <t>Japan</t>
        </is>
      </c>
      <c r="F126" s="26" t="inlineStr">
        <is>
          <t>Unnumbered Promotional cards</t>
        </is>
      </c>
      <c r="G126" s="26" t="n"/>
      <c r="H126" s="26" t="inlineStr">
        <is>
          <t>ANA airline promo</t>
        </is>
      </c>
      <c r="I126" s="26" t="inlineStr">
        <is>
          <t>ANA airline promo</t>
        </is>
      </c>
      <c r="J126" s="26" t="inlineStr">
        <is>
          <t>ANA / airline promo</t>
        </is>
      </c>
      <c r="K126" s="26" t="inlineStr">
        <is>
          <t>Out of print</t>
        </is>
      </c>
      <c r="L126" s="26" t="inlineStr">
        <is>
          <t>Buy the Japanese single. Use eBay/Cardmarket or Mercari/Yahoo Japan through a proxy; bundle proxy orders.</t>
        </is>
      </c>
      <c r="M126" s="26" t="inlineStr">
        <is>
          <t>Marill Unnumbered Promotional cards Japanese ANA airline promo</t>
        </is>
      </c>
      <c r="N126" s="26" t="inlineStr">
        <is>
          <t>Hard</t>
        </is>
      </c>
      <c r="O126" s="26" t="inlineStr">
        <is>
          <t>NEED</t>
        </is>
      </c>
      <c r="P126" s="26" t="n">
        <v>0</v>
      </c>
      <c r="Q126" s="26" t="n"/>
      <c r="R126" s="26" t="inlineStr">
        <is>
          <t>StableKey=AZF-125</t>
        </is>
      </c>
      <c r="S126" s="26" t="inlineStr">
        <is>
          <t>https://bulbapedia.bulbagarden.net/wiki/Marill_(ANA_promo)</t>
        </is>
      </c>
    </row>
    <row r="127">
      <c r="A127" s="26" t="n">
        <v>126</v>
      </c>
      <c r="B127" s="26" t="inlineStr">
        <is>
          <t>Marill</t>
        </is>
      </c>
      <c r="C127" s="26" t="inlineStr">
        <is>
          <t>Marill</t>
        </is>
      </c>
      <c r="D127" s="26" t="inlineStr">
        <is>
          <t>Japanese</t>
        </is>
      </c>
      <c r="E127" s="26" t="inlineStr">
        <is>
          <t>Japan</t>
        </is>
      </c>
      <c r="F127" s="26" t="inlineStr">
        <is>
          <t>Pokémon Card web</t>
        </is>
      </c>
      <c r="G127" s="26" t="inlineStr">
        <is>
          <t>010/048</t>
        </is>
      </c>
      <c r="H127" s="26" t="inlineStr">
        <is>
          <t>Pokémon Web reprint</t>
        </is>
      </c>
      <c r="I127" s="26" t="inlineStr">
        <is>
          <t>Pokémon Web reprint</t>
        </is>
      </c>
      <c r="J127" s="26" t="inlineStr">
        <is>
          <t>Japanese exclusive / vintage</t>
        </is>
      </c>
      <c r="K127" s="26" t="inlineStr">
        <is>
          <t>Out of print</t>
        </is>
      </c>
      <c r="L127" s="26" t="inlineStr">
        <is>
          <t>Buy the Japanese single. Use eBay/Cardmarket or Mercari/Yahoo Japan through a proxy; bundle proxy orders.</t>
        </is>
      </c>
      <c r="M127" s="26" t="inlineStr">
        <is>
          <t>Marill 010/048 Pokémon Card web Japanese Pokémon Web reprint</t>
        </is>
      </c>
      <c r="N127" s="26" t="inlineStr">
        <is>
          <t>Hard</t>
        </is>
      </c>
      <c r="O127" s="26" t="inlineStr">
        <is>
          <t>NEED</t>
        </is>
      </c>
      <c r="P127" s="26" t="n">
        <v>0</v>
      </c>
      <c r="Q127" s="26" t="n"/>
      <c r="R127" s="26" t="inlineStr">
        <is>
          <t>StableKey=AZF-126</t>
        </is>
      </c>
      <c r="S127" s="26" t="inlineStr">
        <is>
          <t>https://bulbapedia.bulbagarden.net/wiki/Marill_(TCG)</t>
        </is>
      </c>
    </row>
    <row r="128">
      <c r="A128" s="26" t="n">
        <v>127</v>
      </c>
      <c r="B128" s="26" t="inlineStr">
        <is>
          <t>Marill</t>
        </is>
      </c>
      <c r="C128" s="26" t="inlineStr">
        <is>
          <t>Marill</t>
        </is>
      </c>
      <c r="D128" s="26" t="inlineStr">
        <is>
          <t>Japanese</t>
        </is>
      </c>
      <c r="E128" s="26" t="inlineStr">
        <is>
          <t>Japan</t>
        </is>
      </c>
      <c r="F128" s="26" t="inlineStr">
        <is>
          <t>Totodile Half Deck</t>
        </is>
      </c>
      <c r="G128" s="26" t="inlineStr">
        <is>
          <t>2</t>
        </is>
      </c>
      <c r="H128" s="26" t="inlineStr">
        <is>
          <t>Deck-exclusive printing</t>
        </is>
      </c>
      <c r="I128" s="26" t="inlineStr">
        <is>
          <t>Deck-exclusive printing</t>
        </is>
      </c>
      <c r="J128" s="26" t="inlineStr">
        <is>
          <t>Japanese deck exclusive</t>
        </is>
      </c>
      <c r="K128" s="26" t="inlineStr">
        <is>
          <t>Out of print</t>
        </is>
      </c>
      <c r="L128" s="26" t="inlineStr">
        <is>
          <t>Buy the Japanese single. Use eBay/Cardmarket or Mercari/Yahoo Japan through a proxy; bundle proxy orders.</t>
        </is>
      </c>
      <c r="M128" s="26" t="inlineStr">
        <is>
          <t>Marill 2 Totodile Half Deck Japanese Deck-exclusive printing</t>
        </is>
      </c>
      <c r="N128" s="26" t="inlineStr">
        <is>
          <t>Very Hard</t>
        </is>
      </c>
      <c r="O128" s="26" t="inlineStr">
        <is>
          <t>NEED</t>
        </is>
      </c>
      <c r="P128" s="26" t="n">
        <v>0</v>
      </c>
      <c r="Q128" s="26" t="n"/>
      <c r="R128" s="26" t="inlineStr">
        <is>
          <t>StableKey=AZF-127</t>
        </is>
      </c>
      <c r="S128" s="26" t="inlineStr">
        <is>
          <t>https://bulbapedia.bulbagarden.net/wiki/Marill_(TCG)</t>
        </is>
      </c>
    </row>
    <row r="129">
      <c r="A129" s="26" t="n">
        <v>128</v>
      </c>
      <c r="B129" s="26" t="inlineStr">
        <is>
          <t>Marill</t>
        </is>
      </c>
      <c r="C129" s="26" t="inlineStr">
        <is>
          <t>Marill</t>
        </is>
      </c>
      <c r="D129" s="26" t="inlineStr">
        <is>
          <t>Japanese</t>
        </is>
      </c>
      <c r="E129" s="26" t="inlineStr">
        <is>
          <t>Japan</t>
        </is>
      </c>
      <c r="F129" s="26" t="inlineStr">
        <is>
          <t>McDonald's Pokémon-e Minimum Pack</t>
        </is>
      </c>
      <c r="G129" s="26" t="inlineStr">
        <is>
          <t>009/018</t>
        </is>
      </c>
      <c r="H129" s="26" t="inlineStr">
        <is>
          <t>Food-promo printing</t>
        </is>
      </c>
      <c r="I129" s="26" t="inlineStr">
        <is>
          <t>Food-promo printing</t>
        </is>
      </c>
      <c r="J129" s="26" t="inlineStr">
        <is>
          <t>McDonald's / e-Reader / Japan</t>
        </is>
      </c>
      <c r="K129" s="26" t="inlineStr">
        <is>
          <t>Out of print</t>
        </is>
      </c>
      <c r="L129" s="26" t="inlineStr">
        <is>
          <t>Buy the Japanese single. Use eBay/Cardmarket or Mercari/Yahoo Japan through a proxy; bundle proxy orders.</t>
        </is>
      </c>
      <c r="M129" s="26" t="inlineStr">
        <is>
          <t>Marill 009/018 McDonald's Pokémon-e Minimum Pack Japanese Food-promo printing</t>
        </is>
      </c>
      <c r="N129" s="26" t="inlineStr">
        <is>
          <t>Very Hard</t>
        </is>
      </c>
      <c r="O129" s="26" t="inlineStr">
        <is>
          <t>NEED</t>
        </is>
      </c>
      <c r="P129" s="26" t="n">
        <v>0</v>
      </c>
      <c r="Q129" s="26" t="n"/>
      <c r="R129" s="26" t="inlineStr">
        <is>
          <t>StableKey=AZF-128</t>
        </is>
      </c>
      <c r="S129" s="26" t="inlineStr">
        <is>
          <t>https://bulbapedia.bulbagarden.net/wiki/Marill_(TCG)</t>
        </is>
      </c>
    </row>
    <row r="130">
      <c r="A130" s="26" t="n">
        <v>129</v>
      </c>
      <c r="B130" s="26" t="inlineStr">
        <is>
          <t>Marill</t>
        </is>
      </c>
      <c r="C130" s="26" t="inlineStr">
        <is>
          <t>Marill</t>
        </is>
      </c>
      <c r="D130" s="26" t="inlineStr">
        <is>
          <t>Japanese</t>
        </is>
      </c>
      <c r="E130" s="26" t="inlineStr">
        <is>
          <t>Japan</t>
        </is>
      </c>
      <c r="F130" s="26" t="inlineStr">
        <is>
          <t>Everyone's Exciting Battle</t>
        </is>
      </c>
      <c r="G130" s="26" t="inlineStr">
        <is>
          <t>011/047</t>
        </is>
      </c>
      <c r="H130" s="26" t="inlineStr">
        <is>
          <t>Special product printing</t>
        </is>
      </c>
      <c r="I130" s="26" t="inlineStr">
        <is>
          <t>Special product printing</t>
        </is>
      </c>
      <c r="J130" s="26" t="inlineStr">
        <is>
          <t>Japanese special product</t>
        </is>
      </c>
      <c r="K130" s="26" t="inlineStr">
        <is>
          <t>Out of print</t>
        </is>
      </c>
      <c r="L130" s="26" t="inlineStr">
        <is>
          <t>Buy the Japanese single. Use eBay/Cardmarket or Mercari/Yahoo Japan through a proxy; bundle proxy orders.</t>
        </is>
      </c>
      <c r="M130" s="26" t="inlineStr">
        <is>
          <t>Marill 011/047 Everyone's Exciting Battle Japanese Special product printing</t>
        </is>
      </c>
      <c r="N130" s="26" t="inlineStr">
        <is>
          <t>Hard</t>
        </is>
      </c>
      <c r="O130" s="26" t="inlineStr">
        <is>
          <t>NEED</t>
        </is>
      </c>
      <c r="P130" s="26" t="n">
        <v>0</v>
      </c>
      <c r="Q130" s="26" t="n"/>
      <c r="R130" s="26" t="inlineStr">
        <is>
          <t>StableKey=AZF-129</t>
        </is>
      </c>
      <c r="S130" s="26" t="inlineStr">
        <is>
          <t>https://bulbapedia.bulbagarden.net/wiki/Marill_(TCG)</t>
        </is>
      </c>
    </row>
    <row r="131">
      <c r="A131" s="26" t="n">
        <v>130</v>
      </c>
      <c r="B131" s="26" t="inlineStr">
        <is>
          <t>Marill</t>
        </is>
      </c>
      <c r="C131" s="26" t="inlineStr">
        <is>
          <t>Marill</t>
        </is>
      </c>
      <c r="D131" s="26" t="inlineStr">
        <is>
          <t>English</t>
        </is>
      </c>
      <c r="E131" s="26" t="inlineStr">
        <is>
          <t>International</t>
        </is>
      </c>
      <c r="F131" s="26" t="inlineStr">
        <is>
          <t>HS Trainer Kit</t>
        </is>
      </c>
      <c r="G131" s="26" t="inlineStr">
        <is>
          <t>G15</t>
        </is>
      </c>
      <c r="H131" s="26" t="inlineStr">
        <is>
          <t>Trainer Kit printing</t>
        </is>
      </c>
      <c r="I131" s="26" t="inlineStr">
        <is>
          <t>Trainer Kit printing</t>
        </is>
      </c>
      <c r="J131" s="26" t="inlineStr">
        <is>
          <t>Trainer Kit</t>
        </is>
      </c>
      <c r="K131" s="26" t="inlineStr">
        <is>
          <t>Out of print</t>
        </is>
      </c>
      <c r="L131" s="26" t="inlineStr">
        <is>
          <t>Buy the single. Start with TCGplayer/eBay or a local card show; bundle cheap cards from one seller.</t>
        </is>
      </c>
      <c r="M131" s="26" t="inlineStr">
        <is>
          <t>Marill G15 HS Trainer Kit English Trainer Kit printing</t>
        </is>
      </c>
      <c r="N131" s="26" t="inlineStr">
        <is>
          <t>Medium</t>
        </is>
      </c>
      <c r="O131" s="26" t="inlineStr">
        <is>
          <t>NEED</t>
        </is>
      </c>
      <c r="P131" s="26" t="n">
        <v>0</v>
      </c>
      <c r="Q131" s="26" t="n"/>
      <c r="R131" s="26" t="inlineStr">
        <is>
          <t>StableKey=AZF-130</t>
        </is>
      </c>
      <c r="S131" s="26" t="inlineStr">
        <is>
          <t>https://www.cardmarket.com/en/Pokemon/Species/Marill</t>
        </is>
      </c>
    </row>
    <row r="132">
      <c r="A132" s="26" t="n">
        <v>131</v>
      </c>
      <c r="B132" s="26" t="inlineStr">
        <is>
          <t>Marill</t>
        </is>
      </c>
      <c r="C132" s="26" t="inlineStr">
        <is>
          <t>Marill</t>
        </is>
      </c>
      <c r="D132" s="26" t="inlineStr">
        <is>
          <t>English</t>
        </is>
      </c>
      <c r="E132" s="26" t="inlineStr">
        <is>
          <t>International</t>
        </is>
      </c>
      <c r="F132" s="26" t="inlineStr">
        <is>
          <t>HS Trainer Kit</t>
        </is>
      </c>
      <c r="G132" s="26" t="inlineStr">
        <is>
          <t>G24</t>
        </is>
      </c>
      <c r="H132" s="26" t="inlineStr">
        <is>
          <t>Trainer Kit printing</t>
        </is>
      </c>
      <c r="I132" s="26" t="inlineStr">
        <is>
          <t>Trainer Kit printing</t>
        </is>
      </c>
      <c r="J132" s="26" t="inlineStr">
        <is>
          <t>Trainer Kit</t>
        </is>
      </c>
      <c r="K132" s="26" t="inlineStr">
        <is>
          <t>Out of print</t>
        </is>
      </c>
      <c r="L132" s="26" t="inlineStr">
        <is>
          <t>Buy the single. Start with TCGplayer/eBay or a local card show; bundle cheap cards from one seller.</t>
        </is>
      </c>
      <c r="M132" s="26" t="inlineStr">
        <is>
          <t>Marill G24 HS Trainer Kit English Trainer Kit printing</t>
        </is>
      </c>
      <c r="N132" s="26" t="inlineStr">
        <is>
          <t>Medium</t>
        </is>
      </c>
      <c r="O132" s="26" t="inlineStr">
        <is>
          <t>NEED</t>
        </is>
      </c>
      <c r="P132" s="26" t="n">
        <v>0</v>
      </c>
      <c r="Q132" s="26" t="n"/>
      <c r="R132" s="26" t="inlineStr">
        <is>
          <t>StableKey=AZF-131</t>
        </is>
      </c>
      <c r="S132" s="26" t="inlineStr">
        <is>
          <t>https://www.cardmarket.com/en/Pokemon/Species/Marill</t>
        </is>
      </c>
    </row>
    <row r="133">
      <c r="A133" s="26" t="n">
        <v>132</v>
      </c>
      <c r="B133" s="26" t="inlineStr">
        <is>
          <t>Marill</t>
        </is>
      </c>
      <c r="C133" s="26" t="inlineStr">
        <is>
          <t>Marill</t>
        </is>
      </c>
      <c r="D133" s="26" t="inlineStr">
        <is>
          <t>English</t>
        </is>
      </c>
      <c r="E133" s="26" t="inlineStr">
        <is>
          <t>US</t>
        </is>
      </c>
      <c r="F133" s="26" t="inlineStr">
        <is>
          <t>McDonald's Collection 2015</t>
        </is>
      </c>
      <c r="G133" s="26" t="inlineStr">
        <is>
          <t>10/12</t>
        </is>
      </c>
      <c r="H133" s="26" t="inlineStr">
        <is>
          <t>Exclusive Confetti Holo</t>
        </is>
      </c>
      <c r="I133" s="26" t="inlineStr">
        <is>
          <t>Exclusive Confetti Holo</t>
        </is>
      </c>
      <c r="J133" s="26" t="inlineStr">
        <is>
          <t>McDonald's / food promo</t>
        </is>
      </c>
      <c r="K133" s="26" t="inlineStr">
        <is>
          <t>Out of print</t>
        </is>
      </c>
      <c r="L133" s="26" t="inlineStr">
        <is>
          <t>Buy the single. Start with TCGplayer/eBay or a local card show; bundle cheap cards from one seller.</t>
        </is>
      </c>
      <c r="M133" s="26" t="inlineStr">
        <is>
          <t>Marill 10/12 McDonald's Collection 2015 English Exclusive Confetti Holo</t>
        </is>
      </c>
      <c r="N133" s="26" t="inlineStr">
        <is>
          <t>Medium</t>
        </is>
      </c>
      <c r="O133" s="26" t="inlineStr">
        <is>
          <t>NEED</t>
        </is>
      </c>
      <c r="P133" s="26" t="n">
        <v>0</v>
      </c>
      <c r="Q133" s="26" t="n"/>
      <c r="R133" s="26" t="inlineStr">
        <is>
          <t>StableKey=AZF-132</t>
        </is>
      </c>
      <c r="S133" s="26" t="inlineStr">
        <is>
          <t>https://bulbapedia.bulbagarden.net/wiki/Marill_(Primal_Clash_102)</t>
        </is>
      </c>
    </row>
    <row r="134">
      <c r="A134" s="26" t="n">
        <v>133</v>
      </c>
      <c r="B134" s="26" t="inlineStr">
        <is>
          <t>Marill</t>
        </is>
      </c>
      <c r="C134" s="26" t="inlineStr">
        <is>
          <t>Marill</t>
        </is>
      </c>
      <c r="D134" s="26" t="inlineStr">
        <is>
          <t>Japanese</t>
        </is>
      </c>
      <c r="E134" s="26" t="inlineStr">
        <is>
          <t>Japan</t>
        </is>
      </c>
      <c r="F134" s="26" t="inlineStr">
        <is>
          <t>Start Deck 100</t>
        </is>
      </c>
      <c r="G134" s="26" t="inlineStr">
        <is>
          <t>088/414</t>
        </is>
      </c>
      <c r="H134" s="26" t="inlineStr">
        <is>
          <t>Deck reprint</t>
        </is>
      </c>
      <c r="I134" s="26" t="inlineStr">
        <is>
          <t>Deck reprint</t>
        </is>
      </c>
      <c r="J134" s="26" t="inlineStr">
        <is>
          <t>Japanese deck</t>
        </is>
      </c>
      <c r="K134" s="26" t="inlineStr">
        <is>
          <t>Out of print</t>
        </is>
      </c>
      <c r="L134" s="26" t="inlineStr">
        <is>
          <t>Buy the Japanese single. Use eBay/Cardmarket or Mercari/Yahoo Japan through a proxy; bundle proxy orders.</t>
        </is>
      </c>
      <c r="M134" s="26" t="inlineStr">
        <is>
          <t>Marill 088/414 Start Deck 100 Japanese Deck reprint</t>
        </is>
      </c>
      <c r="N134" s="26" t="inlineStr">
        <is>
          <t>Medium</t>
        </is>
      </c>
      <c r="O134" s="26" t="inlineStr">
        <is>
          <t>NEED</t>
        </is>
      </c>
      <c r="P134" s="26" t="n">
        <v>0</v>
      </c>
      <c r="Q134" s="26" t="n"/>
      <c r="R134" s="26" t="inlineStr">
        <is>
          <t>StableKey=AZF-133</t>
        </is>
      </c>
      <c r="S134" s="26" t="inlineStr">
        <is>
          <t>https://bulbapedia.bulbagarden.net/wiki/Marill_(TCG)</t>
        </is>
      </c>
    </row>
    <row r="135">
      <c r="A135" s="26" t="n">
        <v>134</v>
      </c>
      <c r="B135" s="26" t="inlineStr">
        <is>
          <t>Marill</t>
        </is>
      </c>
      <c r="C135" s="26" t="inlineStr">
        <is>
          <t>Marill</t>
        </is>
      </c>
      <c r="D135" s="26" t="inlineStr">
        <is>
          <t>Japanese</t>
        </is>
      </c>
      <c r="E135" s="26" t="inlineStr">
        <is>
          <t>Japan</t>
        </is>
      </c>
      <c r="F135" s="26" t="inlineStr">
        <is>
          <t>Generations Start Deck Lugia ex &amp; Tyranitar ex</t>
        </is>
      </c>
      <c r="G135" s="26" t="inlineStr">
        <is>
          <t>029/175</t>
        </is>
      </c>
      <c r="H135" s="26" t="inlineStr">
        <is>
          <t>Deck reprint</t>
        </is>
      </c>
      <c r="I135" s="26" t="inlineStr">
        <is>
          <t>Deck reprint</t>
        </is>
      </c>
      <c r="J135" s="26" t="inlineStr">
        <is>
          <t>Japanese deck</t>
        </is>
      </c>
      <c r="K135" s="26" t="inlineStr">
        <is>
          <t>Out of print</t>
        </is>
      </c>
      <c r="L135" s="26" t="inlineStr">
        <is>
          <t>Buy the Japanese single. Use eBay/Cardmarket or Mercari/Yahoo Japan through a proxy; bundle proxy orders.</t>
        </is>
      </c>
      <c r="M135" s="26" t="inlineStr">
        <is>
          <t>Marill 029/175 Generations Start Deck Lugia ex &amp; Tyranitar ex Japanese Deck reprint</t>
        </is>
      </c>
      <c r="N135" s="26" t="inlineStr">
        <is>
          <t>Medium</t>
        </is>
      </c>
      <c r="O135" s="26" t="inlineStr">
        <is>
          <t>NEED</t>
        </is>
      </c>
      <c r="P135" s="26" t="n">
        <v>0</v>
      </c>
      <c r="Q135" s="26" t="n"/>
      <c r="R135" s="26" t="inlineStr">
        <is>
          <t>StableKey=AZF-134</t>
        </is>
      </c>
      <c r="S135" s="26" t="inlineStr">
        <is>
          <t>https://bulbapedia.bulbagarden.net/wiki/Marill_(TCG)</t>
        </is>
      </c>
    </row>
    <row r="136">
      <c r="A136" s="26" t="n">
        <v>135</v>
      </c>
      <c r="B136" s="26" t="inlineStr">
        <is>
          <t>Marill</t>
        </is>
      </c>
      <c r="C136" s="26" t="inlineStr">
        <is>
          <t>Marill</t>
        </is>
      </c>
      <c r="D136" s="26" t="inlineStr">
        <is>
          <t>Japanese</t>
        </is>
      </c>
      <c r="E136" s="26" t="inlineStr">
        <is>
          <t>Japan</t>
        </is>
      </c>
      <c r="F136" s="26" t="inlineStr">
        <is>
          <t>Pokémon Card Game Battle Academy</t>
        </is>
      </c>
      <c r="G136" s="26" t="inlineStr">
        <is>
          <t>013/066</t>
        </is>
      </c>
      <c r="H136" s="26" t="inlineStr">
        <is>
          <t>Greninja-stamped printing</t>
        </is>
      </c>
      <c r="I136" s="26" t="inlineStr">
        <is>
          <t>Greninja-stamped printing</t>
        </is>
      </c>
      <c r="J136" s="26" t="inlineStr">
        <is>
          <t>Stamped / Japanese deck</t>
        </is>
      </c>
      <c r="K136" s="26" t="inlineStr">
        <is>
          <t>Out of print</t>
        </is>
      </c>
      <c r="L136" s="26" t="inlineStr">
        <is>
          <t>Buy the Japanese single. Use eBay/Cardmarket or Mercari/Yahoo Japan through a proxy; bundle proxy orders.</t>
        </is>
      </c>
      <c r="M136" s="26" t="inlineStr">
        <is>
          <t>Marill 013/066 Pokémon Card Game Battle Academy Japanese Greninja-stamped printing</t>
        </is>
      </c>
      <c r="N136" s="26" t="inlineStr">
        <is>
          <t>Hard</t>
        </is>
      </c>
      <c r="O136" s="26" t="inlineStr">
        <is>
          <t>NEED</t>
        </is>
      </c>
      <c r="P136" s="26" t="n">
        <v>0</v>
      </c>
      <c r="Q136" s="26" t="n"/>
      <c r="R136" s="26" t="inlineStr">
        <is>
          <t>StableKey=AZF-135</t>
        </is>
      </c>
      <c r="S136" s="26" t="inlineStr">
        <is>
          <t>https://bulbapedia.bulbagarden.net/wiki/Marill_(Stellar_Crown_33)</t>
        </is>
      </c>
    </row>
    <row r="137">
      <c r="A137" s="26" t="n">
        <v>136</v>
      </c>
      <c r="B137" s="26" t="inlineStr">
        <is>
          <t>Marill</t>
        </is>
      </c>
      <c r="C137" s="26" t="inlineStr">
        <is>
          <t>Marill</t>
        </is>
      </c>
      <c r="D137" s="26" t="inlineStr">
        <is>
          <t>Thai</t>
        </is>
      </c>
      <c r="E137" s="26" t="inlineStr">
        <is>
          <t>Thailand</t>
        </is>
      </c>
      <c r="F137" s="26" t="inlineStr">
        <is>
          <t>Scarlet &amp; Violet Thai Promos</t>
        </is>
      </c>
      <c r="G137" s="26" t="inlineStr">
        <is>
          <t>124</t>
        </is>
      </c>
      <c r="H137" s="26" t="inlineStr">
        <is>
          <t>Regional promo</t>
        </is>
      </c>
      <c r="I137" s="26" t="inlineStr">
        <is>
          <t>Regional promo</t>
        </is>
      </c>
      <c r="J137" s="26" t="inlineStr">
        <is>
          <t>Thai exclusive / regional</t>
        </is>
      </c>
      <c r="K137" s="26" t="inlineStr">
        <is>
          <t>Out of print</t>
        </is>
      </c>
      <c r="L137" s="26" t="inlineStr">
        <is>
          <t>Regional exclusive: buy the exact numbered single from eBay, Cardmarket, or a specialist seller; use saved searches.</t>
        </is>
      </c>
      <c r="M137" s="26" t="inlineStr">
        <is>
          <t>Marill 124 Scarlet &amp; Violet Thai Promos Thai Regional promo</t>
        </is>
      </c>
      <c r="N137" s="26" t="inlineStr">
        <is>
          <t>Very Hard</t>
        </is>
      </c>
      <c r="O137" s="26" t="inlineStr">
        <is>
          <t>NEED</t>
        </is>
      </c>
      <c r="P137" s="26" t="n">
        <v>0</v>
      </c>
      <c r="Q137" s="26" t="n"/>
      <c r="R137" s="26" t="inlineStr">
        <is>
          <t>StableKey=AZF-136</t>
        </is>
      </c>
      <c r="S137" s="26" t="inlineStr">
        <is>
          <t>https://www.cardmarket.com/en/Pokemon/Species/Marill</t>
        </is>
      </c>
    </row>
    <row r="138">
      <c r="A138" s="26" t="n">
        <v>137</v>
      </c>
      <c r="B138" s="26" t="inlineStr">
        <is>
          <t>Marill</t>
        </is>
      </c>
      <c r="C138" s="26" t="inlineStr">
        <is>
          <t>Marill</t>
        </is>
      </c>
      <c r="D138" s="26" t="inlineStr">
        <is>
          <t>Chinese</t>
        </is>
      </c>
      <c r="E138" s="26" t="inlineStr">
        <is>
          <t>China</t>
        </is>
      </c>
      <c r="F138" s="26" t="inlineStr">
        <is>
          <t>Fearless Terastal</t>
        </is>
      </c>
      <c r="G138" s="26" t="inlineStr">
        <is>
          <t>034</t>
        </is>
      </c>
      <c r="H138" s="26" t="inlineStr">
        <is>
          <t>Regional numbered release</t>
        </is>
      </c>
      <c r="I138" s="26" t="inlineStr">
        <is>
          <t>Regional numbered release</t>
        </is>
      </c>
      <c r="J138" s="26" t="inlineStr">
        <is>
          <t>China exclusive / regional</t>
        </is>
      </c>
      <c r="K138" s="26" t="inlineStr">
        <is>
          <t>Out of print</t>
        </is>
      </c>
      <c r="L138" s="26" t="inlineStr">
        <is>
          <t>Regional exclusive: buy the exact numbered single from eBay, Cardmarket, or a specialist seller; use saved searches.</t>
        </is>
      </c>
      <c r="M138" s="26" t="inlineStr">
        <is>
          <t>Marill 034 Fearless Terastal Chinese Regional numbered release</t>
        </is>
      </c>
      <c r="N138" s="26" t="inlineStr">
        <is>
          <t>Hard</t>
        </is>
      </c>
      <c r="O138" s="26" t="inlineStr">
        <is>
          <t>NEED</t>
        </is>
      </c>
      <c r="P138" s="26" t="n">
        <v>0</v>
      </c>
      <c r="Q138" s="26" t="n"/>
      <c r="R138" s="26" t="inlineStr">
        <is>
          <t>StableKey=AZF-137</t>
        </is>
      </c>
      <c r="S138" s="26" t="inlineStr">
        <is>
          <t>https://www.cardmarket.com/en/Pokemon/Species/Marill</t>
        </is>
      </c>
    </row>
    <row r="139">
      <c r="A139" s="26" t="n">
        <v>138</v>
      </c>
      <c r="B139" s="26" t="inlineStr">
        <is>
          <t>Marill</t>
        </is>
      </c>
      <c r="C139" s="26" t="inlineStr">
        <is>
          <t>Marill</t>
        </is>
      </c>
      <c r="D139" s="26" t="inlineStr">
        <is>
          <t>Chinese</t>
        </is>
      </c>
      <c r="E139" s="26" t="inlineStr">
        <is>
          <t>China</t>
        </is>
      </c>
      <c r="F139" s="26" t="inlineStr">
        <is>
          <t>Final Flame Dance</t>
        </is>
      </c>
      <c r="G139" s="26" t="inlineStr">
        <is>
          <t>006</t>
        </is>
      </c>
      <c r="H139" s="26" t="inlineStr">
        <is>
          <t>Regional numbered release</t>
        </is>
      </c>
      <c r="I139" s="26" t="inlineStr">
        <is>
          <t>Regional numbered release</t>
        </is>
      </c>
      <c r="J139" s="26" t="inlineStr">
        <is>
          <t>China exclusive / regional</t>
        </is>
      </c>
      <c r="K139" s="26" t="inlineStr">
        <is>
          <t>Out of print</t>
        </is>
      </c>
      <c r="L139" s="26" t="inlineStr">
        <is>
          <t>Regional exclusive: buy the exact numbered single from eBay, Cardmarket, or a specialist seller; use saved searches.</t>
        </is>
      </c>
      <c r="M139" s="26" t="inlineStr">
        <is>
          <t>Marill 006 Final Flame Dance Chinese Regional numbered release</t>
        </is>
      </c>
      <c r="N139" s="26" t="inlineStr">
        <is>
          <t>Hard</t>
        </is>
      </c>
      <c r="O139" s="26" t="inlineStr">
        <is>
          <t>NEED</t>
        </is>
      </c>
      <c r="P139" s="26" t="n">
        <v>0</v>
      </c>
      <c r="Q139" s="26" t="n"/>
      <c r="R139" s="26" t="inlineStr">
        <is>
          <t>StableKey=AZF-138</t>
        </is>
      </c>
      <c r="S139" s="26" t="inlineStr">
        <is>
          <t>https://www.cardmarket.com/en/Pokemon/Species/Marill</t>
        </is>
      </c>
    </row>
    <row r="140">
      <c r="A140" s="26" t="n">
        <v>139</v>
      </c>
      <c r="B140" s="26" t="inlineStr">
        <is>
          <t>Marill</t>
        </is>
      </c>
      <c r="C140" s="26" t="inlineStr">
        <is>
          <t>Marill</t>
        </is>
      </c>
      <c r="D140" s="26" t="inlineStr">
        <is>
          <t>Chinese</t>
        </is>
      </c>
      <c r="E140" s="26" t="inlineStr">
        <is>
          <t>China</t>
        </is>
      </c>
      <c r="F140" s="26" t="inlineStr">
        <is>
          <t>Travel Special Pack</t>
        </is>
      </c>
      <c r="G140" s="26" t="inlineStr">
        <is>
          <t>096</t>
        </is>
      </c>
      <c r="H140" s="26" t="inlineStr">
        <is>
          <t>Regional special-pack release</t>
        </is>
      </c>
      <c r="I140" s="26" t="inlineStr">
        <is>
          <t>Regional special-pack release</t>
        </is>
      </c>
      <c r="J140" s="26" t="inlineStr">
        <is>
          <t>China exclusive / regional</t>
        </is>
      </c>
      <c r="K140" s="26" t="inlineStr">
        <is>
          <t>Out of print</t>
        </is>
      </c>
      <c r="L140" s="26" t="inlineStr">
        <is>
          <t>Regional exclusive: buy the exact numbered single from eBay, Cardmarket, or a specialist seller; use saved searches.</t>
        </is>
      </c>
      <c r="M140" s="26" t="inlineStr">
        <is>
          <t>Marill 096 Travel Special Pack Chinese Regional special-pack release</t>
        </is>
      </c>
      <c r="N140" s="26" t="inlineStr">
        <is>
          <t>Hard</t>
        </is>
      </c>
      <c r="O140" s="26" t="inlineStr">
        <is>
          <t>NEED</t>
        </is>
      </c>
      <c r="P140" s="26" t="n">
        <v>0</v>
      </c>
      <c r="Q140" s="26" t="n"/>
      <c r="R140" s="26" t="inlineStr">
        <is>
          <t>StableKey=AZF-139</t>
        </is>
      </c>
      <c r="S140" s="26" t="inlineStr">
        <is>
          <t>https://www.cardmarket.com/en/Pokemon/Species/Marill</t>
        </is>
      </c>
    </row>
    <row r="141">
      <c r="A141" s="26" t="n">
        <v>140</v>
      </c>
      <c r="B141" s="26" t="inlineStr">
        <is>
          <t>Marill</t>
        </is>
      </c>
      <c r="C141" s="26" t="inlineStr">
        <is>
          <t>Marill</t>
        </is>
      </c>
      <c r="D141" s="26" t="inlineStr">
        <is>
          <t>Thai</t>
        </is>
      </c>
      <c r="E141" s="26" t="inlineStr">
        <is>
          <t>Thailand</t>
        </is>
      </c>
      <c r="F141" s="26" t="inlineStr">
        <is>
          <t>M-P Thai Promos</t>
        </is>
      </c>
      <c r="G141" s="26" t="inlineStr">
        <is>
          <t>063</t>
        </is>
      </c>
      <c r="H141" s="26" t="inlineStr">
        <is>
          <t>Regional promo</t>
        </is>
      </c>
      <c r="I141" s="26" t="inlineStr">
        <is>
          <t>Regional promo</t>
        </is>
      </c>
      <c r="J141" s="26" t="inlineStr">
        <is>
          <t>Thai exclusive / regional</t>
        </is>
      </c>
      <c r="K141" s="26" t="inlineStr">
        <is>
          <t>Out of print</t>
        </is>
      </c>
      <c r="L141" s="26" t="inlineStr">
        <is>
          <t>Regional exclusive: buy the exact numbered single from eBay, Cardmarket, or a specialist seller; use saved searches.</t>
        </is>
      </c>
      <c r="M141" s="26" t="inlineStr">
        <is>
          <t>Marill 063 M-P Thai Promos Thai Regional promo</t>
        </is>
      </c>
      <c r="N141" s="26" t="inlineStr">
        <is>
          <t>Very Hard</t>
        </is>
      </c>
      <c r="O141" s="26" t="inlineStr">
        <is>
          <t>NEED</t>
        </is>
      </c>
      <c r="P141" s="26" t="n">
        <v>0</v>
      </c>
      <c r="Q141" s="26" t="n"/>
      <c r="R141" s="26" t="inlineStr">
        <is>
          <t>StableKey=AZF-140</t>
        </is>
      </c>
      <c r="S141" s="26" t="inlineStr">
        <is>
          <t>https://www.cardmarket.com/en/Pokemon/Species/Marill</t>
        </is>
      </c>
    </row>
    <row r="142">
      <c r="A142" s="26" t="n">
        <v>141</v>
      </c>
      <c r="B142" s="26" t="inlineStr">
        <is>
          <t>Marill</t>
        </is>
      </c>
      <c r="C142" s="26" t="inlineStr">
        <is>
          <t>Marill</t>
        </is>
      </c>
      <c r="D142" s="26" t="inlineStr">
        <is>
          <t>Chinese</t>
        </is>
      </c>
      <c r="E142" s="26" t="inlineStr">
        <is>
          <t>China</t>
        </is>
      </c>
      <c r="F142" s="26" t="inlineStr">
        <is>
          <t>Stellar Crystal</t>
        </is>
      </c>
      <c r="G142" s="26" t="inlineStr">
        <is>
          <t>076</t>
        </is>
      </c>
      <c r="H142" s="26" t="inlineStr">
        <is>
          <t>Regional numbered release</t>
        </is>
      </c>
      <c r="I142" s="26" t="inlineStr">
        <is>
          <t>Regional numbered release</t>
        </is>
      </c>
      <c r="J142" s="26" t="inlineStr">
        <is>
          <t>China exclusive / regional</t>
        </is>
      </c>
      <c r="K142" s="26" t="inlineStr">
        <is>
          <t>Out of print</t>
        </is>
      </c>
      <c r="L142" s="26" t="inlineStr">
        <is>
          <t>Regional exclusive: buy the exact numbered single from eBay, Cardmarket, or a specialist seller; use saved searches.</t>
        </is>
      </c>
      <c r="M142" s="26" t="inlineStr">
        <is>
          <t>Marill 076 Stellar Crystal Chinese Regional numbered release</t>
        </is>
      </c>
      <c r="N142" s="26" t="inlineStr">
        <is>
          <t>Hard</t>
        </is>
      </c>
      <c r="O142" s="26" t="inlineStr">
        <is>
          <t>NEED</t>
        </is>
      </c>
      <c r="P142" s="26" t="n">
        <v>0</v>
      </c>
      <c r="Q142" s="26" t="n"/>
      <c r="R142" s="26" t="inlineStr">
        <is>
          <t>StableKey=AZF-141</t>
        </is>
      </c>
      <c r="S142" s="26" t="inlineStr">
        <is>
          <t>https://www.cardmarket.com/en/Pokemon/Species/Marill</t>
        </is>
      </c>
    </row>
    <row r="143">
      <c r="A143" s="26" t="n">
        <v>142</v>
      </c>
      <c r="B143" s="26" t="inlineStr">
        <is>
          <t>Marill</t>
        </is>
      </c>
      <c r="C143" s="26" t="inlineStr">
        <is>
          <t>Marill</t>
        </is>
      </c>
      <c r="D143" s="26" t="inlineStr">
        <is>
          <t>Chinese</t>
        </is>
      </c>
      <c r="E143" s="26" t="inlineStr">
        <is>
          <t>China</t>
        </is>
      </c>
      <c r="F143" s="26" t="inlineStr">
        <is>
          <t>Happy Set Decidueye &amp; Melmetal &amp; Koraidon &amp; Miraidon</t>
        </is>
      </c>
      <c r="G143" s="26" t="inlineStr">
        <is>
          <t>e018</t>
        </is>
      </c>
      <c r="H143" s="26" t="inlineStr">
        <is>
          <t>Regional special-product release</t>
        </is>
      </c>
      <c r="I143" s="26" t="inlineStr">
        <is>
          <t>Regional special-product release</t>
        </is>
      </c>
      <c r="J143" s="26" t="inlineStr">
        <is>
          <t>China exclusive / regional</t>
        </is>
      </c>
      <c r="K143" s="26" t="inlineStr">
        <is>
          <t>Out of print</t>
        </is>
      </c>
      <c r="L143" s="26" t="inlineStr">
        <is>
          <t>Regional exclusive: buy the exact numbered single from eBay, Cardmarket, or a specialist seller; use saved searches.</t>
        </is>
      </c>
      <c r="M143" s="26" t="inlineStr">
        <is>
          <t>Marill e018 Happy Set Decidueye &amp; Melmetal &amp; Koraidon &amp; Miraidon Chinese Regional special-product release</t>
        </is>
      </c>
      <c r="N143" s="26" t="inlineStr">
        <is>
          <t>Very Hard</t>
        </is>
      </c>
      <c r="O143" s="26" t="inlineStr">
        <is>
          <t>NEED</t>
        </is>
      </c>
      <c r="P143" s="26" t="n">
        <v>0</v>
      </c>
      <c r="Q143" s="26" t="n"/>
      <c r="R143" s="26" t="inlineStr">
        <is>
          <t>StableKey=AZF-142</t>
        </is>
      </c>
      <c r="S143" s="26" t="inlineStr">
        <is>
          <t>https://www.cardmarket.com/en/Pokemon/Species/Marill</t>
        </is>
      </c>
    </row>
    <row r="144">
      <c r="A144" s="26" t="n">
        <v>143</v>
      </c>
      <c r="B144" s="26" t="inlineStr">
        <is>
          <t>Marill</t>
        </is>
      </c>
      <c r="C144" s="26" t="inlineStr">
        <is>
          <t>Marill</t>
        </is>
      </c>
      <c r="D144" s="26" t="inlineStr">
        <is>
          <t>Indonesian</t>
        </is>
      </c>
      <c r="E144" s="26" t="inlineStr">
        <is>
          <t>Indonesia</t>
        </is>
      </c>
      <c r="F144" s="26" t="inlineStr">
        <is>
          <t>M-P Indonesian Promos</t>
        </is>
      </c>
      <c r="G144" s="26" t="inlineStr">
        <is>
          <t>075</t>
        </is>
      </c>
      <c r="H144" s="26" t="inlineStr">
        <is>
          <t>Regional promo</t>
        </is>
      </c>
      <c r="I144" s="26" t="inlineStr">
        <is>
          <t>Regional promo</t>
        </is>
      </c>
      <c r="J144" s="26" t="inlineStr">
        <is>
          <t>Indonesia exclusive / regional</t>
        </is>
      </c>
      <c r="K144" s="26" t="inlineStr">
        <is>
          <t>Out of print</t>
        </is>
      </c>
      <c r="L144" s="26" t="inlineStr">
        <is>
          <t>Regional exclusive: buy the exact numbered single from eBay, Cardmarket, or a specialist seller; use saved searches.</t>
        </is>
      </c>
      <c r="M144" s="26" t="inlineStr">
        <is>
          <t>Marill 075 M-P Indonesian Promos Indonesian Regional promo</t>
        </is>
      </c>
      <c r="N144" s="26" t="inlineStr">
        <is>
          <t>Very Hard</t>
        </is>
      </c>
      <c r="O144" s="26" t="inlineStr">
        <is>
          <t>NEED</t>
        </is>
      </c>
      <c r="P144" s="26" t="n">
        <v>0</v>
      </c>
      <c r="Q144" s="26" t="n"/>
      <c r="R144" s="26" t="inlineStr">
        <is>
          <t>StableKey=AZF-143</t>
        </is>
      </c>
      <c r="S144" s="26" t="inlineStr">
        <is>
          <t>https://www.cardmarket.com/en/Pokemon/Species/Marill</t>
        </is>
      </c>
    </row>
    <row r="145">
      <c r="A145" s="26" t="n">
        <v>144</v>
      </c>
      <c r="B145" s="26" t="inlineStr">
        <is>
          <t>Marill</t>
        </is>
      </c>
      <c r="C145" s="26" t="inlineStr">
        <is>
          <t>Marill</t>
        </is>
      </c>
      <c r="D145" s="26" t="inlineStr">
        <is>
          <t>Indonesian</t>
        </is>
      </c>
      <c r="E145" s="26" t="inlineStr">
        <is>
          <t>Indonesia</t>
        </is>
      </c>
      <c r="F145" s="26" t="inlineStr">
        <is>
          <t>M-P Indonesian Promos</t>
        </is>
      </c>
      <c r="G145" s="26" t="inlineStr">
        <is>
          <t>095</t>
        </is>
      </c>
      <c r="H145" s="26" t="inlineStr">
        <is>
          <t>Regional promo</t>
        </is>
      </c>
      <c r="I145" s="26" t="inlineStr">
        <is>
          <t>Regional promo</t>
        </is>
      </c>
      <c r="J145" s="26" t="inlineStr">
        <is>
          <t>Indonesia exclusive / regional</t>
        </is>
      </c>
      <c r="K145" s="26" t="inlineStr">
        <is>
          <t>Out of print</t>
        </is>
      </c>
      <c r="L145" s="26" t="inlineStr">
        <is>
          <t>Regional exclusive: buy the exact numbered single from eBay, Cardmarket, or a specialist seller; use saved searches.</t>
        </is>
      </c>
      <c r="M145" s="26" t="inlineStr">
        <is>
          <t>Marill 095 M-P Indonesian Promos Indonesian Regional promo</t>
        </is>
      </c>
      <c r="N145" s="26" t="inlineStr">
        <is>
          <t>Very Hard</t>
        </is>
      </c>
      <c r="O145" s="26" t="inlineStr">
        <is>
          <t>NEED</t>
        </is>
      </c>
      <c r="P145" s="26" t="n">
        <v>0</v>
      </c>
      <c r="Q145" s="26" t="n"/>
      <c r="R145" s="26" t="inlineStr">
        <is>
          <t>StableKey=AZF-144</t>
        </is>
      </c>
      <c r="S145" s="26" t="inlineStr">
        <is>
          <t>https://www.cardmarket.com/en/Pokemon/Species/Marill</t>
        </is>
      </c>
    </row>
    <row r="146">
      <c r="A146" s="26" t="n">
        <v>145</v>
      </c>
      <c r="B146" s="26" t="inlineStr">
        <is>
          <t>Azumarill</t>
        </is>
      </c>
      <c r="C146" s="26" t="inlineStr">
        <is>
          <t>Azumarill</t>
        </is>
      </c>
      <c r="D146" s="26" t="inlineStr">
        <is>
          <t>English</t>
        </is>
      </c>
      <c r="E146" s="26" t="inlineStr">
        <is>
          <t>International</t>
        </is>
      </c>
      <c r="F146" s="26" t="inlineStr">
        <is>
          <t>Neo Genesis</t>
        </is>
      </c>
      <c r="G146" s="26" t="inlineStr">
        <is>
          <t>2/111</t>
        </is>
      </c>
      <c r="H146" s="26" t="inlineStr">
        <is>
          <t>1st Edition Holo</t>
        </is>
      </c>
      <c r="I146" s="26" t="inlineStr">
        <is>
          <t>1st Edition</t>
        </is>
      </c>
      <c r="J146" s="26" t="inlineStr">
        <is>
          <t>Vintage holo</t>
        </is>
      </c>
      <c r="K146" s="26" t="inlineStr">
        <is>
          <t>Out of print</t>
        </is>
      </c>
      <c r="L146" s="26" t="inlineStr">
        <is>
          <t>Buy the single. Start with TCGplayer/eBay or a local card show; bundle cheap cards from one seller.</t>
        </is>
      </c>
      <c r="M146" s="26" t="inlineStr">
        <is>
          <t>Azumarill 2/111 Neo Genesis English 1st Edition Holo</t>
        </is>
      </c>
      <c r="N146" s="26" t="inlineStr">
        <is>
          <t>Easy</t>
        </is>
      </c>
      <c r="O146" s="26" t="inlineStr">
        <is>
          <t>NEED</t>
        </is>
      </c>
      <c r="P146" s="26" t="n">
        <v>0</v>
      </c>
      <c r="Q146" s="26" t="n"/>
      <c r="R146" s="26" t="inlineStr">
        <is>
          <t>add official reverse/holo counterpart if issued; add official reverse/holo counterpart if issued; add official reverse/holo counterpart if issued; StableKey=AZF-145</t>
        </is>
      </c>
      <c r="S146" s="26" t="inlineStr">
        <is>
          <t>https://bulbapedia.bulbagarden.net/wiki/Azumarill_(TCG)</t>
        </is>
      </c>
    </row>
    <row r="147">
      <c r="A147" s="26" t="n">
        <v>146</v>
      </c>
      <c r="B147" s="26" t="inlineStr">
        <is>
          <t>Azumarill</t>
        </is>
      </c>
      <c r="C147" s="26" t="inlineStr">
        <is>
          <t>Azumarill</t>
        </is>
      </c>
      <c r="D147" s="26" t="inlineStr">
        <is>
          <t>English</t>
        </is>
      </c>
      <c r="E147" s="26" t="inlineStr">
        <is>
          <t>International</t>
        </is>
      </c>
      <c r="F147" s="26" t="inlineStr">
        <is>
          <t>Neo Genesis</t>
        </is>
      </c>
      <c r="G147" s="26" t="inlineStr">
        <is>
          <t>2/111</t>
        </is>
      </c>
      <c r="H147" s="26" t="inlineStr">
        <is>
          <t>Unlimited Holo</t>
        </is>
      </c>
      <c r="I147" s="26" t="inlineStr">
        <is>
          <t>Unlimited</t>
        </is>
      </c>
      <c r="J147" s="26" t="inlineStr">
        <is>
          <t>Vintage holo</t>
        </is>
      </c>
      <c r="K147" s="26" t="inlineStr">
        <is>
          <t>Out of print</t>
        </is>
      </c>
      <c r="L147" s="26" t="inlineStr">
        <is>
          <t>Buy the single. Start with TCGplayer/eBay or a local card show; bundle cheap cards from one seller.</t>
        </is>
      </c>
      <c r="M147" s="26" t="inlineStr">
        <is>
          <t>Azumarill 2/111 Neo Genesis English Unlimited Holo</t>
        </is>
      </c>
      <c r="N147" s="26" t="inlineStr">
        <is>
          <t>Easy</t>
        </is>
      </c>
      <c r="O147" s="26" t="inlineStr">
        <is>
          <t>NEED</t>
        </is>
      </c>
      <c r="P147" s="26" t="n">
        <v>0</v>
      </c>
      <c r="Q147" s="26" t="n"/>
      <c r="R147" s="26" t="inlineStr">
        <is>
          <t>add official reverse/holo counterpart if issued; add official reverse/holo counterpart if issued; add official reverse/holo counterpart if issued; StableKey=AZF-146</t>
        </is>
      </c>
      <c r="S147" s="26" t="inlineStr">
        <is>
          <t>https://bulbapedia.bulbagarden.net/wiki/Azumarill_(TCG)</t>
        </is>
      </c>
    </row>
    <row r="148">
      <c r="A148" s="26" t="n">
        <v>147</v>
      </c>
      <c r="B148" s="26" t="inlineStr">
        <is>
          <t>Azumarill</t>
        </is>
      </c>
      <c r="C148" s="26" t="inlineStr">
        <is>
          <t>Azumarill</t>
        </is>
      </c>
      <c r="D148" s="26" t="inlineStr">
        <is>
          <t>Spanish</t>
        </is>
      </c>
      <c r="E148" s="26" t="inlineStr">
        <is>
          <t>International</t>
        </is>
      </c>
      <c r="F148" s="26" t="inlineStr">
        <is>
          <t>Neo Genesis</t>
        </is>
      </c>
      <c r="G148" s="26" t="inlineStr">
        <is>
          <t>2/111</t>
        </is>
      </c>
      <c r="H148" s="26" t="inlineStr">
        <is>
          <t>1st Edition Holo</t>
        </is>
      </c>
      <c r="I148" s="26" t="inlineStr">
        <is>
          <t>1st Edition</t>
        </is>
      </c>
      <c r="J148" s="26" t="inlineStr">
        <is>
          <t>Vintage holo</t>
        </is>
      </c>
      <c r="K148" s="26" t="inlineStr">
        <is>
          <t>Out of print</t>
        </is>
      </c>
      <c r="L148" s="26" t="inlineStr">
        <is>
          <t>Buy the Spanish single. Cardmarket/eBay are usually best; filter Language = Spanish and bundle orders.</t>
        </is>
      </c>
      <c r="M148" s="26" t="inlineStr">
        <is>
          <t>Azumarill 2/111 Neo Genesis Spanish 1st Edition Holo</t>
        </is>
      </c>
      <c r="N148" s="26" t="inlineStr">
        <is>
          <t>Medium</t>
        </is>
      </c>
      <c r="O148" s="26" t="inlineStr">
        <is>
          <t>NEED</t>
        </is>
      </c>
      <c r="P148" s="26" t="n">
        <v>0</v>
      </c>
      <c r="Q148" s="26" t="n"/>
      <c r="R148" s="26" t="inlineStr">
        <is>
          <t>add official reverse/holo counterpart if issued; add official reverse/holo counterpart if issued; add official reverse/holo counterpart if issued; StableKey=AZF-147</t>
        </is>
      </c>
      <c r="S148" s="26" t="inlineStr">
        <is>
          <t>https://bulbapedia.bulbagarden.net/wiki/Azumarill_(TCG)</t>
        </is>
      </c>
    </row>
    <row r="149">
      <c r="A149" s="26" t="n">
        <v>148</v>
      </c>
      <c r="B149" s="26" t="inlineStr">
        <is>
          <t>Azumarill</t>
        </is>
      </c>
      <c r="C149" s="26" t="inlineStr">
        <is>
          <t>Azumarill</t>
        </is>
      </c>
      <c r="D149" s="26" t="inlineStr">
        <is>
          <t>Spanish</t>
        </is>
      </c>
      <c r="E149" s="26" t="inlineStr">
        <is>
          <t>International</t>
        </is>
      </c>
      <c r="F149" s="26" t="inlineStr">
        <is>
          <t>Neo Genesis</t>
        </is>
      </c>
      <c r="G149" s="26" t="inlineStr">
        <is>
          <t>2/111</t>
        </is>
      </c>
      <c r="H149" s="26" t="inlineStr">
        <is>
          <t>Unlimited Holo</t>
        </is>
      </c>
      <c r="I149" s="26" t="inlineStr">
        <is>
          <t>Unlimited</t>
        </is>
      </c>
      <c r="J149" s="26" t="inlineStr">
        <is>
          <t>Vintage holo</t>
        </is>
      </c>
      <c r="K149" s="26" t="inlineStr">
        <is>
          <t>Out of print</t>
        </is>
      </c>
      <c r="L149" s="26" t="inlineStr">
        <is>
          <t>Buy the Spanish single. Cardmarket/eBay are usually best; filter Language = Spanish and bundle orders.</t>
        </is>
      </c>
      <c r="M149" s="26" t="inlineStr">
        <is>
          <t>Azumarill 2/111 Neo Genesis Spanish Unlimited Holo</t>
        </is>
      </c>
      <c r="N149" s="26" t="inlineStr">
        <is>
          <t>Medium</t>
        </is>
      </c>
      <c r="O149" s="26" t="inlineStr">
        <is>
          <t>NEED</t>
        </is>
      </c>
      <c r="P149" s="26" t="n">
        <v>0</v>
      </c>
      <c r="Q149" s="26" t="n"/>
      <c r="R149" s="26" t="inlineStr">
        <is>
          <t>add official reverse/holo counterpart if issued; add official reverse/holo counterpart if issued; add official reverse/holo counterpart if issued; StableKey=AZF-148</t>
        </is>
      </c>
      <c r="S149" s="26" t="inlineStr">
        <is>
          <t>https://bulbapedia.bulbagarden.net/wiki/Azumarill_(TCG)</t>
        </is>
      </c>
    </row>
    <row r="150">
      <c r="A150" s="26" t="n">
        <v>149</v>
      </c>
      <c r="B150" s="26" t="inlineStr">
        <is>
          <t>Azumarill</t>
        </is>
      </c>
      <c r="C150" s="26" t="inlineStr">
        <is>
          <t>Azumarill</t>
        </is>
      </c>
      <c r="D150" s="26" t="inlineStr">
        <is>
          <t>Japanese</t>
        </is>
      </c>
      <c r="E150" s="26" t="inlineStr">
        <is>
          <t>Japan</t>
        </is>
      </c>
      <c r="F150" s="26" t="inlineStr">
        <is>
          <t>Gold, Silver, to a New World...</t>
        </is>
      </c>
      <c r="G150" s="26" t="n"/>
      <c r="H150" s="26" t="inlineStr">
        <is>
          <t>Standard</t>
        </is>
      </c>
      <c r="I150" s="26" t="n"/>
      <c r="J150" s="26" t="inlineStr">
        <is>
          <t>Vintage holo</t>
        </is>
      </c>
      <c r="K150" s="26" t="inlineStr">
        <is>
          <t>Out of print</t>
        </is>
      </c>
      <c r="L150" s="26" t="inlineStr">
        <is>
          <t>Buy the Japanese single. Use eBay/Cardmarket or Mercari/Yahoo Japan through a proxy; bundle proxy orders.</t>
        </is>
      </c>
      <c r="M150" s="26" t="inlineStr">
        <is>
          <t>Azumarill Gold, Silver, to a New World... Japanese Standard</t>
        </is>
      </c>
      <c r="N150" s="26" t="inlineStr">
        <is>
          <t>Medium</t>
        </is>
      </c>
      <c r="O150" s="26" t="inlineStr">
        <is>
          <t>NEED</t>
        </is>
      </c>
      <c r="P150" s="26" t="n">
        <v>0</v>
      </c>
      <c r="Q150" s="26" t="n"/>
      <c r="R150" s="26" t="inlineStr">
        <is>
          <t>StableKey=AZF-149</t>
        </is>
      </c>
      <c r="S150" s="26" t="inlineStr">
        <is>
          <t>https://bulbapedia.bulbagarden.net/wiki/Azumarill_(TCG)</t>
        </is>
      </c>
    </row>
    <row r="151">
      <c r="A151" s="26" t="n">
        <v>150</v>
      </c>
      <c r="B151" s="26" t="inlineStr">
        <is>
          <t>Azumarill</t>
        </is>
      </c>
      <c r="C151" s="26" t="inlineStr">
        <is>
          <t>Azumarill</t>
        </is>
      </c>
      <c r="D151" s="26" t="inlineStr">
        <is>
          <t>English</t>
        </is>
      </c>
      <c r="E151" s="26" t="inlineStr">
        <is>
          <t>International</t>
        </is>
      </c>
      <c r="F151" s="26" t="inlineStr">
        <is>
          <t>Aquapolis</t>
        </is>
      </c>
      <c r="G151" s="26" t="inlineStr">
        <is>
          <t>H4/H32</t>
        </is>
      </c>
      <c r="H151" s="26" t="inlineStr">
        <is>
          <t>Holo</t>
        </is>
      </c>
      <c r="I151" s="26" t="inlineStr">
        <is>
          <t>Holo</t>
        </is>
      </c>
      <c r="J151" s="26" t="inlineStr">
        <is>
          <t>e-Reader holo</t>
        </is>
      </c>
      <c r="K151" s="26" t="inlineStr">
        <is>
          <t>Out of print</t>
        </is>
      </c>
      <c r="L151" s="26" t="inlineStr">
        <is>
          <t>Buy the single. Start with TCGplayer/eBay or a local card show; bundle cheap cards from one seller.</t>
        </is>
      </c>
      <c r="M151" s="26" t="inlineStr">
        <is>
          <t>Azumarill H4/H32 Aquapolis English Holo</t>
        </is>
      </c>
      <c r="N151" s="26" t="inlineStr">
        <is>
          <t>Medium</t>
        </is>
      </c>
      <c r="O151" s="26" t="inlineStr">
        <is>
          <t>NEED</t>
        </is>
      </c>
      <c r="P151" s="26" t="n">
        <v>0</v>
      </c>
      <c r="Q151" s="26" t="n"/>
      <c r="R151" s="26" t="inlineStr">
        <is>
          <t>add official reverse/holo counterpart if issued; add official reverse/holo counterpart if issued; add official reverse/holo counterpart if issued; StableKey=AZF-150</t>
        </is>
      </c>
      <c r="S151" s="26" t="inlineStr">
        <is>
          <t>https://bulbapedia.bulbagarden.net/wiki/Azumarill_(TCG)</t>
        </is>
      </c>
    </row>
    <row r="152">
      <c r="A152" s="26" t="n">
        <v>151</v>
      </c>
      <c r="B152" s="26" t="inlineStr">
        <is>
          <t>Azumarill</t>
        </is>
      </c>
      <c r="C152" s="26" t="inlineStr">
        <is>
          <t>Azumarill</t>
        </is>
      </c>
      <c r="D152" s="26" t="inlineStr">
        <is>
          <t>Japanese</t>
        </is>
      </c>
      <c r="E152" s="26" t="inlineStr">
        <is>
          <t>Japan</t>
        </is>
      </c>
      <c r="F152" s="26" t="inlineStr">
        <is>
          <t>The Town on No Map</t>
        </is>
      </c>
      <c r="G152" s="26" t="inlineStr">
        <is>
          <t>026/092</t>
        </is>
      </c>
      <c r="H152" s="26" t="inlineStr">
        <is>
          <t>1st Edition</t>
        </is>
      </c>
      <c r="I152" s="26" t="inlineStr">
        <is>
          <t>1st Edition</t>
        </is>
      </c>
      <c r="J152" s="26" t="inlineStr">
        <is>
          <t>e-Reader holo</t>
        </is>
      </c>
      <c r="K152" s="26" t="inlineStr">
        <is>
          <t>Out of print</t>
        </is>
      </c>
      <c r="L152" s="26" t="inlineStr">
        <is>
          <t>Buy the Japanese single. Use eBay/Cardmarket or Mercari/Yahoo Japan through a proxy; bundle proxy orders.</t>
        </is>
      </c>
      <c r="M152" s="26" t="inlineStr">
        <is>
          <t>Azumarill 026/092 The Town on No Map Japanese 1st Edition</t>
        </is>
      </c>
      <c r="N152" s="26" t="inlineStr">
        <is>
          <t>Medium</t>
        </is>
      </c>
      <c r="O152" s="26" t="inlineStr">
        <is>
          <t>NEED</t>
        </is>
      </c>
      <c r="P152" s="26" t="n">
        <v>0</v>
      </c>
      <c r="Q152" s="26" t="n"/>
      <c r="R152" s="26" t="inlineStr">
        <is>
          <t>StableKey=AZF-151</t>
        </is>
      </c>
      <c r="S152" s="26" t="inlineStr">
        <is>
          <t>https://bulbapedia.bulbagarden.net/wiki/Azumarill_(TCG)</t>
        </is>
      </c>
    </row>
    <row r="153">
      <c r="A153" s="26" t="n">
        <v>152</v>
      </c>
      <c r="B153" s="26" t="inlineStr">
        <is>
          <t>Azumarill</t>
        </is>
      </c>
      <c r="C153" s="26" t="inlineStr">
        <is>
          <t>Azumarill</t>
        </is>
      </c>
      <c r="D153" s="26" t="inlineStr">
        <is>
          <t>Japanese</t>
        </is>
      </c>
      <c r="E153" s="26" t="inlineStr">
        <is>
          <t>Japan</t>
        </is>
      </c>
      <c r="F153" s="26" t="inlineStr">
        <is>
          <t>The Town on No Map</t>
        </is>
      </c>
      <c r="G153" s="26" t="inlineStr">
        <is>
          <t>026/092</t>
        </is>
      </c>
      <c r="H153" s="26" t="inlineStr">
        <is>
          <t>Unlimited</t>
        </is>
      </c>
      <c r="I153" s="26" t="inlineStr">
        <is>
          <t>Unlimited</t>
        </is>
      </c>
      <c r="J153" s="26" t="inlineStr">
        <is>
          <t>e-Reader holo</t>
        </is>
      </c>
      <c r="K153" s="26" t="inlineStr">
        <is>
          <t>Out of print</t>
        </is>
      </c>
      <c r="L153" s="26" t="inlineStr">
        <is>
          <t>Buy the Japanese single. Use eBay/Cardmarket or Mercari/Yahoo Japan through a proxy; bundle proxy orders.</t>
        </is>
      </c>
      <c r="M153" s="26" t="inlineStr">
        <is>
          <t>Azumarill 026/092 The Town on No Map Japanese Unlimited</t>
        </is>
      </c>
      <c r="N153" s="26" t="inlineStr">
        <is>
          <t>Medium</t>
        </is>
      </c>
      <c r="O153" s="26" t="inlineStr">
        <is>
          <t>NEED</t>
        </is>
      </c>
      <c r="P153" s="26" t="n">
        <v>0</v>
      </c>
      <c r="Q153" s="26" t="n"/>
      <c r="R153" s="26" t="inlineStr">
        <is>
          <t>StableKey=AZF-152</t>
        </is>
      </c>
      <c r="S153" s="26" t="inlineStr">
        <is>
          <t>https://bulbapedia.bulbagarden.net/wiki/Azumarill_(TCG)</t>
        </is>
      </c>
    </row>
    <row r="154">
      <c r="A154" s="26" t="n">
        <v>153</v>
      </c>
      <c r="B154" s="26" t="inlineStr">
        <is>
          <t>Azumarill</t>
        </is>
      </c>
      <c r="C154" s="26" t="inlineStr">
        <is>
          <t>Azumarill</t>
        </is>
      </c>
      <c r="D154" s="26" t="inlineStr">
        <is>
          <t>English</t>
        </is>
      </c>
      <c r="E154" s="26" t="inlineStr">
        <is>
          <t>International</t>
        </is>
      </c>
      <c r="F154" s="26" t="inlineStr">
        <is>
          <t>Aquapolis</t>
        </is>
      </c>
      <c r="G154" s="26" t="inlineStr">
        <is>
          <t>4/147</t>
        </is>
      </c>
      <c r="H154" s="26" t="inlineStr">
        <is>
          <t>Standard</t>
        </is>
      </c>
      <c r="I154" s="26" t="n"/>
      <c r="J154" s="26" t="inlineStr">
        <is>
          <t>e-Reader</t>
        </is>
      </c>
      <c r="K154" s="26" t="inlineStr">
        <is>
          <t>Out of print</t>
        </is>
      </c>
      <c r="L154" s="26" t="inlineStr">
        <is>
          <t>Buy the single. Start with TCGplayer/eBay or a local card show; bundle cheap cards from one seller.</t>
        </is>
      </c>
      <c r="M154" s="26" t="inlineStr">
        <is>
          <t>Azumarill 4/147 Aquapolis English Standard</t>
        </is>
      </c>
      <c r="N154" s="26" t="inlineStr">
        <is>
          <t>Easy</t>
        </is>
      </c>
      <c r="O154" s="26" t="inlineStr">
        <is>
          <t>NEED</t>
        </is>
      </c>
      <c r="P154" s="26" t="n">
        <v>0</v>
      </c>
      <c r="Q154" s="26" t="n"/>
      <c r="R154" s="26" t="inlineStr">
        <is>
          <t>add official reverse/holo counterpart if issued; add official reverse/holo counterpart if issued; add official reverse/holo counterpart if issued; StableKey=AZF-153</t>
        </is>
      </c>
      <c r="S154" s="26" t="inlineStr">
        <is>
          <t>https://bulbapedia.bulbagarden.net/wiki/Azumarill_(TCG)</t>
        </is>
      </c>
    </row>
    <row r="155">
      <c r="A155" s="26" t="n">
        <v>154</v>
      </c>
      <c r="B155" s="26" t="inlineStr">
        <is>
          <t>Azumarill</t>
        </is>
      </c>
      <c r="C155" s="26" t="inlineStr">
        <is>
          <t>Azumarill</t>
        </is>
      </c>
      <c r="D155" s="26" t="inlineStr">
        <is>
          <t>English</t>
        </is>
      </c>
      <c r="E155" s="26" t="inlineStr">
        <is>
          <t>International</t>
        </is>
      </c>
      <c r="F155" s="26" t="inlineStr">
        <is>
          <t>Aquapolis</t>
        </is>
      </c>
      <c r="G155" s="26" t="inlineStr">
        <is>
          <t>4/147</t>
        </is>
      </c>
      <c r="H155" s="26" t="inlineStr">
        <is>
          <t>Reverse Holo</t>
        </is>
      </c>
      <c r="I155" s="26" t="inlineStr">
        <is>
          <t>Reverse Holo</t>
        </is>
      </c>
      <c r="J155" s="26" t="inlineStr">
        <is>
          <t>e-Reader</t>
        </is>
      </c>
      <c r="K155" s="26" t="inlineStr">
        <is>
          <t>Out of print</t>
        </is>
      </c>
      <c r="L155" s="26" t="inlineStr">
        <is>
          <t>Buy the single. Start with TCGplayer/eBay or a local card show; bundle cheap cards from one seller.</t>
        </is>
      </c>
      <c r="M155" s="26" t="inlineStr">
        <is>
          <t>Azumarill 4/147 Aquapolis English Reverse Holo</t>
        </is>
      </c>
      <c r="N155" s="26" t="inlineStr">
        <is>
          <t>Easy</t>
        </is>
      </c>
      <c r="O155" s="26" t="inlineStr">
        <is>
          <t>NEED</t>
        </is>
      </c>
      <c r="P155" s="26" t="n">
        <v>0</v>
      </c>
      <c r="Q155" s="26" t="n"/>
      <c r="R155" s="26" t="inlineStr">
        <is>
          <t>add official reverse/holo counterpart if issued; add official reverse/holo counterpart if issued; add official reverse/holo counterpart if issued; StableKey=AZF-154</t>
        </is>
      </c>
      <c r="S155" s="26" t="inlineStr">
        <is>
          <t>https://bulbapedia.bulbagarden.net/wiki/Azumarill_(TCG)</t>
        </is>
      </c>
    </row>
    <row r="156">
      <c r="A156" s="26" t="n">
        <v>155</v>
      </c>
      <c r="B156" s="26" t="inlineStr">
        <is>
          <t>Azumarill</t>
        </is>
      </c>
      <c r="C156" s="26" t="inlineStr">
        <is>
          <t>Azumarill</t>
        </is>
      </c>
      <c r="D156" s="26" t="inlineStr">
        <is>
          <t>Japanese</t>
        </is>
      </c>
      <c r="E156" s="26" t="inlineStr">
        <is>
          <t>Japan</t>
        </is>
      </c>
      <c r="F156" s="26" t="inlineStr">
        <is>
          <t>The Town on No Map</t>
        </is>
      </c>
      <c r="G156" s="26" t="inlineStr">
        <is>
          <t>025/092</t>
        </is>
      </c>
      <c r="H156" s="26" t="inlineStr">
        <is>
          <t>1st Edition</t>
        </is>
      </c>
      <c r="I156" s="26" t="inlineStr">
        <is>
          <t>1st Edition</t>
        </is>
      </c>
      <c r="J156" s="26" t="inlineStr">
        <is>
          <t>e-Reader</t>
        </is>
      </c>
      <c r="K156" s="26" t="inlineStr">
        <is>
          <t>Out of print</t>
        </is>
      </c>
      <c r="L156" s="26" t="inlineStr">
        <is>
          <t>Buy the Japanese single. Use eBay/Cardmarket or Mercari/Yahoo Japan through a proxy; bundle proxy orders.</t>
        </is>
      </c>
      <c r="M156" s="26" t="inlineStr">
        <is>
          <t>Azumarill 025/092 The Town on No Map Japanese 1st Edition</t>
        </is>
      </c>
      <c r="N156" s="26" t="inlineStr">
        <is>
          <t>Medium</t>
        </is>
      </c>
      <c r="O156" s="26" t="inlineStr">
        <is>
          <t>NEED</t>
        </is>
      </c>
      <c r="P156" s="26" t="n">
        <v>0</v>
      </c>
      <c r="Q156" s="26" t="n"/>
      <c r="R156" s="26" t="inlineStr">
        <is>
          <t>StableKey=AZF-155</t>
        </is>
      </c>
      <c r="S156" s="26" t="inlineStr">
        <is>
          <t>https://bulbapedia.bulbagarden.net/wiki/Azumarill_(TCG)</t>
        </is>
      </c>
    </row>
    <row r="157">
      <c r="A157" s="26" t="n">
        <v>156</v>
      </c>
      <c r="B157" s="26" t="inlineStr">
        <is>
          <t>Azumarill</t>
        </is>
      </c>
      <c r="C157" s="26" t="inlineStr">
        <is>
          <t>Azumarill</t>
        </is>
      </c>
      <c r="D157" s="26" t="inlineStr">
        <is>
          <t>Japanese</t>
        </is>
      </c>
      <c r="E157" s="26" t="inlineStr">
        <is>
          <t>Japan</t>
        </is>
      </c>
      <c r="F157" s="26" t="inlineStr">
        <is>
          <t>The Town on No Map</t>
        </is>
      </c>
      <c r="G157" s="26" t="inlineStr">
        <is>
          <t>025/092</t>
        </is>
      </c>
      <c r="H157" s="26" t="inlineStr">
        <is>
          <t>Unlimited</t>
        </is>
      </c>
      <c r="I157" s="26" t="inlineStr">
        <is>
          <t>Unlimited</t>
        </is>
      </c>
      <c r="J157" s="26" t="inlineStr">
        <is>
          <t>e-Reader</t>
        </is>
      </c>
      <c r="K157" s="26" t="inlineStr">
        <is>
          <t>Out of print</t>
        </is>
      </c>
      <c r="L157" s="26" t="inlineStr">
        <is>
          <t>Buy the Japanese single. Use eBay/Cardmarket or Mercari/Yahoo Japan through a proxy; bundle proxy orders.</t>
        </is>
      </c>
      <c r="M157" s="26" t="inlineStr">
        <is>
          <t>Azumarill 025/092 The Town on No Map Japanese Unlimited</t>
        </is>
      </c>
      <c r="N157" s="26" t="inlineStr">
        <is>
          <t>Medium</t>
        </is>
      </c>
      <c r="O157" s="26" t="inlineStr">
        <is>
          <t>NEED</t>
        </is>
      </c>
      <c r="P157" s="26" t="n">
        <v>0</v>
      </c>
      <c r="Q157" s="26" t="n"/>
      <c r="R157" s="26" t="inlineStr">
        <is>
          <t>StableKey=AZF-156</t>
        </is>
      </c>
      <c r="S157" s="26" t="inlineStr">
        <is>
          <t>https://bulbapedia.bulbagarden.net/wiki/Azumarill_(TCG)</t>
        </is>
      </c>
    </row>
    <row r="158">
      <c r="A158" s="26" t="n">
        <v>157</v>
      </c>
      <c r="B158" s="26" t="inlineStr">
        <is>
          <t>Azumarill</t>
        </is>
      </c>
      <c r="C158" s="26" t="inlineStr">
        <is>
          <t>Azumarill</t>
        </is>
      </c>
      <c r="D158" s="26" t="inlineStr">
        <is>
          <t>English</t>
        </is>
      </c>
      <c r="E158" s="26" t="inlineStr">
        <is>
          <t>International</t>
        </is>
      </c>
      <c r="F158" s="26" t="inlineStr">
        <is>
          <t>EX Sandstorm</t>
        </is>
      </c>
      <c r="G158" s="26" t="inlineStr">
        <is>
          <t>30/100</t>
        </is>
      </c>
      <c r="H158" s="26" t="inlineStr">
        <is>
          <t>Standard</t>
        </is>
      </c>
      <c r="I158" s="26" t="n"/>
      <c r="J158" s="26" t="n"/>
      <c r="K158" s="26" t="inlineStr">
        <is>
          <t>Out of print</t>
        </is>
      </c>
      <c r="L158" s="26" t="inlineStr">
        <is>
          <t>Buy the single. Start with TCGplayer/eBay or a local card show; bundle cheap cards from one seller.</t>
        </is>
      </c>
      <c r="M158" s="26" t="inlineStr">
        <is>
          <t>Azumarill 30/100 EX Sandstorm English Standard</t>
        </is>
      </c>
      <c r="N158" s="26" t="inlineStr">
        <is>
          <t>Easy</t>
        </is>
      </c>
      <c r="O158" s="26" t="inlineStr">
        <is>
          <t>NEED</t>
        </is>
      </c>
      <c r="P158" s="26" t="n">
        <v>0</v>
      </c>
      <c r="Q158" s="26" t="n"/>
      <c r="R158" s="26" t="inlineStr">
        <is>
          <t>add official reverse/holo counterpart if issued; add official reverse/holo counterpart if issued; add official reverse/holo counterpart if issued; StableKey=AZF-157</t>
        </is>
      </c>
      <c r="S158" s="26" t="inlineStr">
        <is>
          <t>https://bulbapedia.bulbagarden.net/wiki/Azumarill_(TCG)</t>
        </is>
      </c>
    </row>
    <row r="159">
      <c r="A159" s="26" t="n">
        <v>158</v>
      </c>
      <c r="B159" s="26" t="inlineStr">
        <is>
          <t>Azumarill</t>
        </is>
      </c>
      <c r="C159" s="26" t="inlineStr">
        <is>
          <t>Azumarill</t>
        </is>
      </c>
      <c r="D159" s="26" t="inlineStr">
        <is>
          <t>English</t>
        </is>
      </c>
      <c r="E159" s="26" t="inlineStr">
        <is>
          <t>International</t>
        </is>
      </c>
      <c r="F159" s="26" t="inlineStr">
        <is>
          <t>EX Sandstorm</t>
        </is>
      </c>
      <c r="G159" s="26" t="inlineStr">
        <is>
          <t>30/100</t>
        </is>
      </c>
      <c r="H159" s="26" t="inlineStr">
        <is>
          <t>Reverse Holo</t>
        </is>
      </c>
      <c r="I159" s="26" t="inlineStr">
        <is>
          <t>Reverse Holo</t>
        </is>
      </c>
      <c r="J159" s="26" t="n"/>
      <c r="K159" s="26" t="inlineStr">
        <is>
          <t>Out of print</t>
        </is>
      </c>
      <c r="L159" s="26" t="inlineStr">
        <is>
          <t>Buy the single. Start with TCGplayer/eBay or a local card show; bundle cheap cards from one seller.</t>
        </is>
      </c>
      <c r="M159" s="26" t="inlineStr">
        <is>
          <t>Azumarill 30/100 EX Sandstorm English Reverse Holo</t>
        </is>
      </c>
      <c r="N159" s="26" t="inlineStr">
        <is>
          <t>Easy</t>
        </is>
      </c>
      <c r="O159" s="26" t="inlineStr">
        <is>
          <t>NEED</t>
        </is>
      </c>
      <c r="P159" s="26" t="n">
        <v>0</v>
      </c>
      <c r="Q159" s="26" t="n"/>
      <c r="R159" s="26" t="inlineStr">
        <is>
          <t>add official reverse/holo counterpart if issued; add official reverse/holo counterpart if issued; add official reverse/holo counterpart if issued; StableKey=AZF-158</t>
        </is>
      </c>
      <c r="S159" s="26" t="inlineStr">
        <is>
          <t>https://bulbapedia.bulbagarden.net/wiki/Azumarill_(TCG)</t>
        </is>
      </c>
    </row>
    <row r="160">
      <c r="A160" s="26" t="n">
        <v>159</v>
      </c>
      <c r="B160" s="26" t="inlineStr">
        <is>
          <t>Azumarill</t>
        </is>
      </c>
      <c r="C160" s="26" t="inlineStr">
        <is>
          <t>Azumarill</t>
        </is>
      </c>
      <c r="D160" s="26" t="inlineStr">
        <is>
          <t>Japanese</t>
        </is>
      </c>
      <c r="E160" s="26" t="inlineStr">
        <is>
          <t>Japan</t>
        </is>
      </c>
      <c r="F160" s="26" t="inlineStr">
        <is>
          <t>Miracle of the Desert</t>
        </is>
      </c>
      <c r="G160" s="26" t="inlineStr">
        <is>
          <t>017/053</t>
        </is>
      </c>
      <c r="H160" s="26" t="inlineStr">
        <is>
          <t>1st Edition</t>
        </is>
      </c>
      <c r="I160" s="26" t="inlineStr">
        <is>
          <t>1st Edition</t>
        </is>
      </c>
      <c r="J160" s="26" t="n"/>
      <c r="K160" s="26" t="inlineStr">
        <is>
          <t>Out of print</t>
        </is>
      </c>
      <c r="L160" s="26" t="inlineStr">
        <is>
          <t>Buy the Japanese single. Use eBay/Cardmarket or Mercari/Yahoo Japan through a proxy; bundle proxy orders.</t>
        </is>
      </c>
      <c r="M160" s="26" t="inlineStr">
        <is>
          <t>Azumarill 017/053 Miracle of the Desert Japanese 1st Edition</t>
        </is>
      </c>
      <c r="N160" s="26" t="inlineStr">
        <is>
          <t>Medium</t>
        </is>
      </c>
      <c r="O160" s="26" t="inlineStr">
        <is>
          <t>NEED</t>
        </is>
      </c>
      <c r="P160" s="26" t="n">
        <v>0</v>
      </c>
      <c r="Q160" s="26" t="n"/>
      <c r="R160" s="26" t="inlineStr">
        <is>
          <t>StableKey=AZF-159</t>
        </is>
      </c>
      <c r="S160" s="26" t="inlineStr">
        <is>
          <t>https://bulbapedia.bulbagarden.net/wiki/Azumarill_(TCG)</t>
        </is>
      </c>
    </row>
    <row r="161">
      <c r="A161" s="26" t="n">
        <v>160</v>
      </c>
      <c r="B161" s="26" t="inlineStr">
        <is>
          <t>Azumarill</t>
        </is>
      </c>
      <c r="C161" s="26" t="inlineStr">
        <is>
          <t>Azumarill</t>
        </is>
      </c>
      <c r="D161" s="26" t="inlineStr">
        <is>
          <t>Japanese</t>
        </is>
      </c>
      <c r="E161" s="26" t="inlineStr">
        <is>
          <t>Japan</t>
        </is>
      </c>
      <c r="F161" s="26" t="inlineStr">
        <is>
          <t>Miracle of the Desert</t>
        </is>
      </c>
      <c r="G161" s="26" t="inlineStr">
        <is>
          <t>017/053</t>
        </is>
      </c>
      <c r="H161" s="26" t="inlineStr">
        <is>
          <t>Unlimited</t>
        </is>
      </c>
      <c r="I161" s="26" t="inlineStr">
        <is>
          <t>Unlimited</t>
        </is>
      </c>
      <c r="J161" s="26" t="n"/>
      <c r="K161" s="26" t="inlineStr">
        <is>
          <t>Out of print</t>
        </is>
      </c>
      <c r="L161" s="26" t="inlineStr">
        <is>
          <t>Buy the Japanese single. Use eBay/Cardmarket or Mercari/Yahoo Japan through a proxy; bundle proxy orders.</t>
        </is>
      </c>
      <c r="M161" s="26" t="inlineStr">
        <is>
          <t>Azumarill 017/053 Miracle of the Desert Japanese Unlimited</t>
        </is>
      </c>
      <c r="N161" s="26" t="inlineStr">
        <is>
          <t>Medium</t>
        </is>
      </c>
      <c r="O161" s="26" t="inlineStr">
        <is>
          <t>NEED</t>
        </is>
      </c>
      <c r="P161" s="26" t="n">
        <v>0</v>
      </c>
      <c r="Q161" s="26" t="n"/>
      <c r="R161" s="26" t="inlineStr">
        <is>
          <t>StableKey=AZF-160</t>
        </is>
      </c>
      <c r="S161" s="26" t="inlineStr">
        <is>
          <t>https://bulbapedia.bulbagarden.net/wiki/Azumarill_(TCG)</t>
        </is>
      </c>
    </row>
    <row r="162">
      <c r="A162" s="26" t="n">
        <v>161</v>
      </c>
      <c r="B162" s="26" t="inlineStr">
        <is>
          <t>Azumarill</t>
        </is>
      </c>
      <c r="C162" s="26" t="inlineStr">
        <is>
          <t>Azumarill</t>
        </is>
      </c>
      <c r="D162" s="26" t="inlineStr">
        <is>
          <t>English</t>
        </is>
      </c>
      <c r="E162" s="26" t="inlineStr">
        <is>
          <t>International</t>
        </is>
      </c>
      <c r="F162" s="26" t="inlineStr">
        <is>
          <t>EX Team Rocket Returns</t>
        </is>
      </c>
      <c r="G162" s="26" t="inlineStr">
        <is>
          <t>1/109</t>
        </is>
      </c>
      <c r="H162" s="26" t="inlineStr">
        <is>
          <t>Holo</t>
        </is>
      </c>
      <c r="I162" s="26" t="inlineStr">
        <is>
          <t>Holo</t>
        </is>
      </c>
      <c r="J162" s="26" t="n"/>
      <c r="K162" s="26" t="inlineStr">
        <is>
          <t>Out of print</t>
        </is>
      </c>
      <c r="L162" s="26" t="inlineStr">
        <is>
          <t>Buy the single. Start with TCGplayer/eBay or a local card show; bundle cheap cards from one seller.</t>
        </is>
      </c>
      <c r="M162" s="26" t="inlineStr">
        <is>
          <t>Azumarill 1/109 EX Team Rocket Returns English Holo</t>
        </is>
      </c>
      <c r="N162" s="26" t="inlineStr">
        <is>
          <t>Easy</t>
        </is>
      </c>
      <c r="O162" s="26" t="inlineStr">
        <is>
          <t>NEED</t>
        </is>
      </c>
      <c r="P162" s="26" t="n">
        <v>0</v>
      </c>
      <c r="Q162" s="26" t="n"/>
      <c r="R162" s="26" t="inlineStr">
        <is>
          <t>add official reverse/holo counterpart if issued; add official reverse/holo counterpart if issued; add official reverse/holo counterpart if issued; StableKey=AZF-161</t>
        </is>
      </c>
      <c r="S162" s="26" t="inlineStr">
        <is>
          <t>https://bulbapedia.bulbagarden.net/wiki/Azumarill_(TCG)</t>
        </is>
      </c>
    </row>
    <row r="163">
      <c r="A163" s="26" t="n">
        <v>162</v>
      </c>
      <c r="B163" s="26" t="inlineStr">
        <is>
          <t>Azumarill</t>
        </is>
      </c>
      <c r="C163" s="26" t="inlineStr">
        <is>
          <t>Azumarill</t>
        </is>
      </c>
      <c r="D163" s="26" t="inlineStr">
        <is>
          <t>English</t>
        </is>
      </c>
      <c r="E163" s="26" t="inlineStr">
        <is>
          <t>International</t>
        </is>
      </c>
      <c r="F163" s="26" t="inlineStr">
        <is>
          <t>EX Team Rocket Returns</t>
        </is>
      </c>
      <c r="G163" s="26" t="inlineStr">
        <is>
          <t>1/109</t>
        </is>
      </c>
      <c r="H163" s="26" t="inlineStr">
        <is>
          <t>Reverse Holo</t>
        </is>
      </c>
      <c r="I163" s="26" t="inlineStr">
        <is>
          <t>Reverse Holo</t>
        </is>
      </c>
      <c r="J163" s="26" t="n"/>
      <c r="K163" s="26" t="inlineStr">
        <is>
          <t>Out of print</t>
        </is>
      </c>
      <c r="L163" s="26" t="inlineStr">
        <is>
          <t>Buy the single. Start with TCGplayer/eBay or a local card show; bundle cheap cards from one seller.</t>
        </is>
      </c>
      <c r="M163" s="26" t="inlineStr">
        <is>
          <t>Azumarill 1/109 EX Team Rocket Returns English Reverse Holo</t>
        </is>
      </c>
      <c r="N163" s="26" t="inlineStr">
        <is>
          <t>Easy</t>
        </is>
      </c>
      <c r="O163" s="26" t="inlineStr">
        <is>
          <t>NEED</t>
        </is>
      </c>
      <c r="P163" s="26" t="n">
        <v>0</v>
      </c>
      <c r="Q163" s="26" t="n"/>
      <c r="R163" s="26" t="inlineStr">
        <is>
          <t>add official reverse/holo counterpart if issued; add official reverse/holo counterpart if issued; add official reverse/holo counterpart if issued; StableKey=AZF-162</t>
        </is>
      </c>
      <c r="S163" s="26" t="inlineStr">
        <is>
          <t>https://bulbapedia.bulbagarden.net/wiki/Azumarill_(TCG)</t>
        </is>
      </c>
    </row>
    <row r="164">
      <c r="A164" s="26" t="n">
        <v>163</v>
      </c>
      <c r="B164" s="26" t="inlineStr">
        <is>
          <t>Azumarill</t>
        </is>
      </c>
      <c r="C164" s="26" t="inlineStr">
        <is>
          <t>Azumarill</t>
        </is>
      </c>
      <c r="D164" s="26" t="inlineStr">
        <is>
          <t>English</t>
        </is>
      </c>
      <c r="E164" s="26" t="inlineStr">
        <is>
          <t>International</t>
        </is>
      </c>
      <c r="F164" s="26" t="inlineStr">
        <is>
          <t>EX Team Rocket Returns</t>
        </is>
      </c>
      <c r="G164" s="26" t="inlineStr">
        <is>
          <t>1/109</t>
        </is>
      </c>
      <c r="H164" s="26" t="inlineStr">
        <is>
          <t>James Theme Deck Non-Holo</t>
        </is>
      </c>
      <c r="I164" s="26" t="inlineStr">
        <is>
          <t>Theme Deck exclusive</t>
        </is>
      </c>
      <c r="J164" s="26" t="n"/>
      <c r="K164" s="26" t="inlineStr">
        <is>
          <t>Out of print</t>
        </is>
      </c>
      <c r="L164" s="26" t="inlineStr">
        <is>
          <t>Buy the single. Start with TCGplayer/eBay or a local card show; bundle cheap cards from one seller.</t>
        </is>
      </c>
      <c r="M164" s="26" t="inlineStr">
        <is>
          <t>Azumarill 1/109 EX Team Rocket Returns English James Theme Deck Non-Holo</t>
        </is>
      </c>
      <c r="N164" s="26" t="inlineStr">
        <is>
          <t>Easy</t>
        </is>
      </c>
      <c r="O164" s="26" t="inlineStr">
        <is>
          <t>NEED</t>
        </is>
      </c>
      <c r="P164" s="26" t="n">
        <v>0</v>
      </c>
      <c r="Q164" s="26" t="n"/>
      <c r="R164" s="26" t="inlineStr">
        <is>
          <t>add official reverse/holo counterpart if issued; add official reverse/holo counterpart if issued; add official reverse/holo counterpart if issued; StableKey=AZF-163</t>
        </is>
      </c>
      <c r="S164" s="26" t="inlineStr">
        <is>
          <t>https://bulbapedia.bulbagarden.net/wiki/Azumarill_(TCG)</t>
        </is>
      </c>
    </row>
    <row r="165">
      <c r="A165" s="26" t="n">
        <v>164</v>
      </c>
      <c r="B165" s="26" t="inlineStr">
        <is>
          <t>Azumarill</t>
        </is>
      </c>
      <c r="C165" s="26" t="inlineStr">
        <is>
          <t>Azumarill</t>
        </is>
      </c>
      <c r="D165" s="26" t="inlineStr">
        <is>
          <t>Japanese</t>
        </is>
      </c>
      <c r="E165" s="26" t="inlineStr">
        <is>
          <t>Japan</t>
        </is>
      </c>
      <c r="F165" s="26" t="inlineStr">
        <is>
          <t>Rocket Gang Strikes Back</t>
        </is>
      </c>
      <c r="G165" s="26" t="inlineStr">
        <is>
          <t>025/084</t>
        </is>
      </c>
      <c r="H165" s="26" t="inlineStr">
        <is>
          <t>1st Edition</t>
        </is>
      </c>
      <c r="I165" s="26" t="inlineStr">
        <is>
          <t>1st Edition</t>
        </is>
      </c>
      <c r="J165" s="26" t="n"/>
      <c r="K165" s="26" t="inlineStr">
        <is>
          <t>Out of print</t>
        </is>
      </c>
      <c r="L165" s="26" t="inlineStr">
        <is>
          <t>Buy the Japanese single. Use eBay/Cardmarket or Mercari/Yahoo Japan through a proxy; bundle proxy orders.</t>
        </is>
      </c>
      <c r="M165" s="26" t="inlineStr">
        <is>
          <t>Azumarill 025/084 Rocket Gang Strikes Back Japanese 1st Edition</t>
        </is>
      </c>
      <c r="N165" s="26" t="inlineStr">
        <is>
          <t>Medium</t>
        </is>
      </c>
      <c r="O165" s="26" t="inlineStr">
        <is>
          <t>NEED</t>
        </is>
      </c>
      <c r="P165" s="26" t="n">
        <v>0</v>
      </c>
      <c r="Q165" s="26" t="n"/>
      <c r="R165" s="26" t="inlineStr">
        <is>
          <t>StableKey=AZF-164</t>
        </is>
      </c>
      <c r="S165" s="26" t="inlineStr">
        <is>
          <t>https://bulbapedia.bulbagarden.net/wiki/Azumarill_(TCG)</t>
        </is>
      </c>
    </row>
    <row r="166">
      <c r="A166" s="26" t="n">
        <v>165</v>
      </c>
      <c r="B166" s="26" t="inlineStr">
        <is>
          <t>Azumarill</t>
        </is>
      </c>
      <c r="C166" s="26" t="inlineStr">
        <is>
          <t>Azumarill</t>
        </is>
      </c>
      <c r="D166" s="26" t="inlineStr">
        <is>
          <t>Japanese</t>
        </is>
      </c>
      <c r="E166" s="26" t="inlineStr">
        <is>
          <t>Japan</t>
        </is>
      </c>
      <c r="F166" s="26" t="inlineStr">
        <is>
          <t>Rocket Gang Strikes Back</t>
        </is>
      </c>
      <c r="G166" s="26" t="inlineStr">
        <is>
          <t>025/084</t>
        </is>
      </c>
      <c r="H166" s="26" t="inlineStr">
        <is>
          <t>Unlimited</t>
        </is>
      </c>
      <c r="I166" s="26" t="inlineStr">
        <is>
          <t>Unlimited</t>
        </is>
      </c>
      <c r="J166" s="26" t="n"/>
      <c r="K166" s="26" t="inlineStr">
        <is>
          <t>Out of print</t>
        </is>
      </c>
      <c r="L166" s="26" t="inlineStr">
        <is>
          <t>Buy the Japanese single. Use eBay/Cardmarket or Mercari/Yahoo Japan through a proxy; bundle proxy orders.</t>
        </is>
      </c>
      <c r="M166" s="26" t="inlineStr">
        <is>
          <t>Azumarill 025/084 Rocket Gang Strikes Back Japanese Unlimited</t>
        </is>
      </c>
      <c r="N166" s="26" t="inlineStr">
        <is>
          <t>Medium</t>
        </is>
      </c>
      <c r="O166" s="26" t="inlineStr">
        <is>
          <t>NEED</t>
        </is>
      </c>
      <c r="P166" s="26" t="n">
        <v>0</v>
      </c>
      <c r="Q166" s="26" t="n"/>
      <c r="R166" s="26" t="inlineStr">
        <is>
          <t>StableKey=AZF-165</t>
        </is>
      </c>
      <c r="S166" s="26" t="inlineStr">
        <is>
          <t>https://bulbapedia.bulbagarden.net/wiki/Azumarill_(TCG)</t>
        </is>
      </c>
    </row>
    <row r="167">
      <c r="A167" s="26" t="n">
        <v>166</v>
      </c>
      <c r="B167" s="26" t="inlineStr">
        <is>
          <t>Azumarill</t>
        </is>
      </c>
      <c r="C167" s="26" t="inlineStr">
        <is>
          <t>Azumarill δ</t>
        </is>
      </c>
      <c r="D167" s="26" t="inlineStr">
        <is>
          <t>English</t>
        </is>
      </c>
      <c r="E167" s="26" t="inlineStr">
        <is>
          <t>International</t>
        </is>
      </c>
      <c r="F167" s="26" t="inlineStr">
        <is>
          <t>EX Delta Species</t>
        </is>
      </c>
      <c r="G167" s="26" t="inlineStr">
        <is>
          <t>19/113</t>
        </is>
      </c>
      <c r="H167" s="26" t="inlineStr">
        <is>
          <t>Standard</t>
        </is>
      </c>
      <c r="I167" s="26" t="n"/>
      <c r="J167" s="26" t="inlineStr">
        <is>
          <t>Delta Species</t>
        </is>
      </c>
      <c r="K167" s="26" t="inlineStr">
        <is>
          <t>Out of print</t>
        </is>
      </c>
      <c r="L167" s="26" t="inlineStr">
        <is>
          <t>Buy the single. Start with TCGplayer/eBay or a local card show; bundle cheap cards from one seller.</t>
        </is>
      </c>
      <c r="M167" s="26" t="inlineStr">
        <is>
          <t>Azumarill 19/113 EX Delta Species English Standard</t>
        </is>
      </c>
      <c r="N167" s="26" t="inlineStr">
        <is>
          <t>Easy</t>
        </is>
      </c>
      <c r="O167" s="26" t="inlineStr">
        <is>
          <t>NEED</t>
        </is>
      </c>
      <c r="P167" s="26" t="n">
        <v>0</v>
      </c>
      <c r="Q167" s="26" t="n"/>
      <c r="R167" s="26" t="inlineStr">
        <is>
          <t>add official reverse/holo counterpart if issued; add official reverse/holo counterpart if issued; add official reverse/holo counterpart if issued; StableKey=AZF-166</t>
        </is>
      </c>
      <c r="S167" s="26" t="inlineStr">
        <is>
          <t>https://bulbapedia.bulbagarden.net/wiki/Azumarill_(TCG)</t>
        </is>
      </c>
    </row>
    <row r="168">
      <c r="A168" s="26" t="n">
        <v>167</v>
      </c>
      <c r="B168" s="26" t="inlineStr">
        <is>
          <t>Azumarill</t>
        </is>
      </c>
      <c r="C168" s="26" t="inlineStr">
        <is>
          <t>Azumarill δ</t>
        </is>
      </c>
      <c r="D168" s="26" t="inlineStr">
        <is>
          <t>English</t>
        </is>
      </c>
      <c r="E168" s="26" t="inlineStr">
        <is>
          <t>International</t>
        </is>
      </c>
      <c r="F168" s="26" t="inlineStr">
        <is>
          <t>EX Delta Species</t>
        </is>
      </c>
      <c r="G168" s="26" t="inlineStr">
        <is>
          <t>19/113</t>
        </is>
      </c>
      <c r="H168" s="26" t="inlineStr">
        <is>
          <t>Reverse Holo</t>
        </is>
      </c>
      <c r="I168" s="26" t="inlineStr">
        <is>
          <t>Reverse Holo</t>
        </is>
      </c>
      <c r="J168" s="26" t="inlineStr">
        <is>
          <t>Delta Species</t>
        </is>
      </c>
      <c r="K168" s="26" t="inlineStr">
        <is>
          <t>Out of print</t>
        </is>
      </c>
      <c r="L168" s="26" t="inlineStr">
        <is>
          <t>Buy the single. Start with TCGplayer/eBay or a local card show; bundle cheap cards from one seller.</t>
        </is>
      </c>
      <c r="M168" s="26" t="inlineStr">
        <is>
          <t>Azumarill 19/113 EX Delta Species English Reverse Holo</t>
        </is>
      </c>
      <c r="N168" s="26" t="inlineStr">
        <is>
          <t>Easy</t>
        </is>
      </c>
      <c r="O168" s="26" t="inlineStr">
        <is>
          <t>NEED</t>
        </is>
      </c>
      <c r="P168" s="26" t="n">
        <v>0</v>
      </c>
      <c r="Q168" s="26" t="n"/>
      <c r="R168" s="26" t="inlineStr">
        <is>
          <t>add official reverse/holo counterpart if issued; add official reverse/holo counterpart if issued; add official reverse/holo counterpart if issued; StableKey=AZF-167</t>
        </is>
      </c>
      <c r="S168" s="26" t="inlineStr">
        <is>
          <t>https://bulbapedia.bulbagarden.net/wiki/Azumarill_(TCG)</t>
        </is>
      </c>
    </row>
    <row r="169">
      <c r="A169" s="26" t="n">
        <v>168</v>
      </c>
      <c r="B169" s="26" t="inlineStr">
        <is>
          <t>Azumarill</t>
        </is>
      </c>
      <c r="C169" s="26" t="inlineStr">
        <is>
          <t>Azumarill δ</t>
        </is>
      </c>
      <c r="D169" s="26" t="inlineStr">
        <is>
          <t>Japanese</t>
        </is>
      </c>
      <c r="E169" s="26" t="inlineStr">
        <is>
          <t>Japan</t>
        </is>
      </c>
      <c r="F169" s="26" t="inlineStr">
        <is>
          <t>Holon Research Tower Water Quarter Deck</t>
        </is>
      </c>
      <c r="G169" s="26" t="inlineStr">
        <is>
          <t>006/015</t>
        </is>
      </c>
      <c r="H169" s="26" t="inlineStr">
        <is>
          <t>Standard</t>
        </is>
      </c>
      <c r="I169" s="26" t="n"/>
      <c r="J169" s="26" t="inlineStr">
        <is>
          <t>Delta Species</t>
        </is>
      </c>
      <c r="K169" s="26" t="inlineStr">
        <is>
          <t>Out of print</t>
        </is>
      </c>
      <c r="L169" s="26" t="inlineStr">
        <is>
          <t>Buy the Japanese single. Use eBay/Cardmarket or Mercari/Yahoo Japan through a proxy; bundle proxy orders.</t>
        </is>
      </c>
      <c r="M169" s="26" t="inlineStr">
        <is>
          <t>Azumarill 006/015 Holon Research Tower Water Quarter Deck Japanese Standard</t>
        </is>
      </c>
      <c r="N169" s="26" t="inlineStr">
        <is>
          <t>Medium</t>
        </is>
      </c>
      <c r="O169" s="26" t="inlineStr">
        <is>
          <t>NEED</t>
        </is>
      </c>
      <c r="P169" s="26" t="n">
        <v>0</v>
      </c>
      <c r="Q169" s="26" t="n"/>
      <c r="R169" s="26" t="inlineStr">
        <is>
          <t>StableKey=AZF-168</t>
        </is>
      </c>
      <c r="S169" s="26" t="inlineStr">
        <is>
          <t>https://bulbapedia.bulbagarden.net/wiki/Azumarill_(TCG)</t>
        </is>
      </c>
    </row>
    <row r="170">
      <c r="A170" s="26" t="n">
        <v>169</v>
      </c>
      <c r="B170" s="26" t="inlineStr">
        <is>
          <t>Azumarill</t>
        </is>
      </c>
      <c r="C170" s="26" t="inlineStr">
        <is>
          <t>Azumarill</t>
        </is>
      </c>
      <c r="D170" s="26" t="inlineStr">
        <is>
          <t>English</t>
        </is>
      </c>
      <c r="E170" s="26" t="inlineStr">
        <is>
          <t>International</t>
        </is>
      </c>
      <c r="F170" s="26" t="inlineStr">
        <is>
          <t>EX Delta Species</t>
        </is>
      </c>
      <c r="G170" s="26" t="inlineStr">
        <is>
          <t>114/113</t>
        </is>
      </c>
      <c r="H170" s="26" t="inlineStr">
        <is>
          <t>Secret Box Topper</t>
        </is>
      </c>
      <c r="I170" s="26" t="inlineStr">
        <is>
          <t>Secret Box Topper</t>
        </is>
      </c>
      <c r="J170" s="26" t="inlineStr">
        <is>
          <t>Secret Box Topper / Japanese promo</t>
        </is>
      </c>
      <c r="K170" s="26" t="inlineStr">
        <is>
          <t>Out of print</t>
        </is>
      </c>
      <c r="L170" s="26" t="inlineStr">
        <is>
          <t>Buy the single. Start with TCGplayer/eBay or a local card show; bundle cheap cards from one seller.</t>
        </is>
      </c>
      <c r="M170" s="26" t="inlineStr">
        <is>
          <t>Azumarill 114/113 EX Delta Species Secret Box Topper English</t>
        </is>
      </c>
      <c r="N170" s="26" t="inlineStr">
        <is>
          <t>Medium</t>
        </is>
      </c>
      <c r="O170" s="26" t="inlineStr">
        <is>
          <t>NEED</t>
        </is>
      </c>
      <c r="P170" s="26" t="n">
        <v>0</v>
      </c>
      <c r="Q170" s="26" t="n"/>
      <c r="R170" s="26" t="inlineStr">
        <is>
          <t>add official reverse/holo counterpart if issued; add official reverse/holo counterpart if issued; add official reverse/holo counterpart if issued; StableKey=AZF-169</t>
        </is>
      </c>
      <c r="S170" s="26" t="inlineStr">
        <is>
          <t>https://bulbapedia.bulbagarden.net/wiki/Azumarill_(EX_Delta_Species_114)</t>
        </is>
      </c>
    </row>
    <row r="171">
      <c r="A171" s="26" t="n">
        <v>170</v>
      </c>
      <c r="B171" s="26" t="inlineStr">
        <is>
          <t>Azumarill</t>
        </is>
      </c>
      <c r="C171" s="26" t="inlineStr">
        <is>
          <t>Azumarill</t>
        </is>
      </c>
      <c r="D171" s="26" t="inlineStr">
        <is>
          <t>Japanese</t>
        </is>
      </c>
      <c r="E171" s="26" t="inlineStr">
        <is>
          <t>Japan</t>
        </is>
      </c>
      <c r="F171" s="26" t="inlineStr">
        <is>
          <t>PCG-P Promotional cards</t>
        </is>
      </c>
      <c r="G171" s="26" t="inlineStr">
        <is>
          <t>077/PCG-P</t>
        </is>
      </c>
      <c r="H171" s="26" t="inlineStr">
        <is>
          <t>Standard</t>
        </is>
      </c>
      <c r="I171" s="26" t="n"/>
      <c r="J171" s="26" t="inlineStr">
        <is>
          <t>Secret Box Topper / Japanese promo</t>
        </is>
      </c>
      <c r="K171" s="26" t="inlineStr">
        <is>
          <t>Out of print</t>
        </is>
      </c>
      <c r="L171" s="26" t="inlineStr">
        <is>
          <t>Buy the Japanese single. Use eBay/Cardmarket or Mercari/Yahoo Japan through a proxy; bundle proxy orders.</t>
        </is>
      </c>
      <c r="M171" s="26" t="inlineStr">
        <is>
          <t>Azumarill 077/PCG-P PCG-P Promotional cards Japanese Standard</t>
        </is>
      </c>
      <c r="N171" s="26" t="inlineStr">
        <is>
          <t>Medium</t>
        </is>
      </c>
      <c r="O171" s="26" t="inlineStr">
        <is>
          <t>NEED</t>
        </is>
      </c>
      <c r="P171" s="26" t="n">
        <v>0</v>
      </c>
      <c r="Q171" s="26" t="n"/>
      <c r="R171" s="26" t="inlineStr">
        <is>
          <t>StableKey=AZF-170</t>
        </is>
      </c>
      <c r="S171" s="26" t="inlineStr">
        <is>
          <t>https://bulbapedia.bulbagarden.net/wiki/Azumarill_(TCG)</t>
        </is>
      </c>
    </row>
    <row r="172">
      <c r="A172" s="26" t="n">
        <v>171</v>
      </c>
      <c r="B172" s="26" t="inlineStr">
        <is>
          <t>Azumarill</t>
        </is>
      </c>
      <c r="C172" s="26" t="inlineStr">
        <is>
          <t>Azumarill</t>
        </is>
      </c>
      <c r="D172" s="26" t="inlineStr">
        <is>
          <t>English</t>
        </is>
      </c>
      <c r="E172" s="26" t="inlineStr">
        <is>
          <t>International</t>
        </is>
      </c>
      <c r="F172" s="26" t="inlineStr">
        <is>
          <t>Diamond &amp; Pearl</t>
        </is>
      </c>
      <c r="G172" s="26" t="inlineStr">
        <is>
          <t>18/130</t>
        </is>
      </c>
      <c r="H172" s="26" t="inlineStr">
        <is>
          <t>Standard</t>
        </is>
      </c>
      <c r="I172" s="26" t="n"/>
      <c r="J172" s="26" t="n"/>
      <c r="K172" s="26" t="inlineStr">
        <is>
          <t>Out of print</t>
        </is>
      </c>
      <c r="L172" s="26" t="inlineStr">
        <is>
          <t>Buy the single. Start with TCGplayer/eBay or a local card show; bundle cheap cards from one seller.</t>
        </is>
      </c>
      <c r="M172" s="26" t="inlineStr">
        <is>
          <t>Azumarill 18/130 Diamond &amp; Pearl English Standard</t>
        </is>
      </c>
      <c r="N172" s="26" t="inlineStr">
        <is>
          <t>Easy</t>
        </is>
      </c>
      <c r="O172" s="26" t="inlineStr">
        <is>
          <t>NEED</t>
        </is>
      </c>
      <c r="P172" s="26" t="n">
        <v>0</v>
      </c>
      <c r="Q172" s="26" t="n"/>
      <c r="R172" s="26" t="inlineStr">
        <is>
          <t>add official reverse/holo counterpart if issued; add official reverse/holo counterpart if issued; add official reverse/holo counterpart if issued; StableKey=AZF-171</t>
        </is>
      </c>
      <c r="S172" s="26" t="inlineStr">
        <is>
          <t>https://bulbapedia.bulbagarden.net/wiki/Azumarill_(TCG)</t>
        </is>
      </c>
    </row>
    <row r="173">
      <c r="A173" s="26" t="n">
        <v>172</v>
      </c>
      <c r="B173" s="26" t="inlineStr">
        <is>
          <t>Azumarill</t>
        </is>
      </c>
      <c r="C173" s="26" t="inlineStr">
        <is>
          <t>Azumarill</t>
        </is>
      </c>
      <c r="D173" s="26" t="inlineStr">
        <is>
          <t>English</t>
        </is>
      </c>
      <c r="E173" s="26" t="inlineStr">
        <is>
          <t>International</t>
        </is>
      </c>
      <c r="F173" s="26" t="inlineStr">
        <is>
          <t>Diamond &amp; Pearl</t>
        </is>
      </c>
      <c r="G173" s="26" t="inlineStr">
        <is>
          <t>18/130</t>
        </is>
      </c>
      <c r="H173" s="26" t="inlineStr">
        <is>
          <t>Reverse Holo</t>
        </is>
      </c>
      <c r="I173" s="26" t="inlineStr">
        <is>
          <t>Reverse Holo</t>
        </is>
      </c>
      <c r="J173" s="26" t="n"/>
      <c r="K173" s="26" t="inlineStr">
        <is>
          <t>Out of print</t>
        </is>
      </c>
      <c r="L173" s="26" t="inlineStr">
        <is>
          <t>Buy the single. Start with TCGplayer/eBay or a local card show; bundle cheap cards from one seller.</t>
        </is>
      </c>
      <c r="M173" s="26" t="inlineStr">
        <is>
          <t>Azumarill 18/130 Diamond &amp; Pearl English Reverse Holo</t>
        </is>
      </c>
      <c r="N173" s="26" t="inlineStr">
        <is>
          <t>Easy</t>
        </is>
      </c>
      <c r="O173" s="26" t="inlineStr">
        <is>
          <t>NEED</t>
        </is>
      </c>
      <c r="P173" s="26" t="n">
        <v>0</v>
      </c>
      <c r="Q173" s="26" t="n"/>
      <c r="R173" s="26" t="inlineStr">
        <is>
          <t>add official reverse/holo counterpart if issued; add official reverse/holo counterpart if issued; add official reverse/holo counterpart if issued; StableKey=AZF-172</t>
        </is>
      </c>
      <c r="S173" s="26" t="inlineStr">
        <is>
          <t>https://bulbapedia.bulbagarden.net/wiki/Azumarill_(TCG)</t>
        </is>
      </c>
    </row>
    <row r="174">
      <c r="A174" s="26" t="n">
        <v>173</v>
      </c>
      <c r="B174" s="26" t="inlineStr">
        <is>
          <t>Azumarill</t>
        </is>
      </c>
      <c r="C174" s="26" t="inlineStr">
        <is>
          <t>Azumarill</t>
        </is>
      </c>
      <c r="D174" s="26" t="inlineStr">
        <is>
          <t>Spanish</t>
        </is>
      </c>
      <c r="E174" s="26" t="inlineStr">
        <is>
          <t>International</t>
        </is>
      </c>
      <c r="F174" s="26" t="inlineStr">
        <is>
          <t>Diamond &amp; Pearl</t>
        </is>
      </c>
      <c r="G174" s="26" t="inlineStr">
        <is>
          <t>18/130</t>
        </is>
      </c>
      <c r="H174" s="26" t="inlineStr">
        <is>
          <t>Standard</t>
        </is>
      </c>
      <c r="I174" s="26" t="n"/>
      <c r="J174" s="26" t="n"/>
      <c r="K174" s="26" t="inlineStr">
        <is>
          <t>Out of print</t>
        </is>
      </c>
      <c r="L174" s="26" t="inlineStr">
        <is>
          <t>Buy the Spanish single. Cardmarket/eBay are usually best; filter Language = Spanish and bundle orders.</t>
        </is>
      </c>
      <c r="M174" s="26" t="inlineStr">
        <is>
          <t>Azumarill 18/130 Diamond &amp; Pearl Spanish Standard</t>
        </is>
      </c>
      <c r="N174" s="26" t="inlineStr">
        <is>
          <t>Medium</t>
        </is>
      </c>
      <c r="O174" s="26" t="inlineStr">
        <is>
          <t>NEED</t>
        </is>
      </c>
      <c r="P174" s="26" t="n">
        <v>0</v>
      </c>
      <c r="Q174" s="26" t="n"/>
      <c r="R174" s="26" t="inlineStr">
        <is>
          <t>add official reverse/holo counterpart if issued; add official reverse/holo counterpart if issued; add official reverse/holo counterpart if issued; StableKey=AZF-173</t>
        </is>
      </c>
      <c r="S174" s="26" t="inlineStr">
        <is>
          <t>https://bulbapedia.bulbagarden.net/wiki/Azumarill_(TCG)</t>
        </is>
      </c>
    </row>
    <row r="175">
      <c r="A175" s="26" t="n">
        <v>174</v>
      </c>
      <c r="B175" s="26" t="inlineStr">
        <is>
          <t>Azumarill</t>
        </is>
      </c>
      <c r="C175" s="26" t="inlineStr">
        <is>
          <t>Azumarill</t>
        </is>
      </c>
      <c r="D175" s="26" t="inlineStr">
        <is>
          <t>Japanese</t>
        </is>
      </c>
      <c r="E175" s="26" t="inlineStr">
        <is>
          <t>Japan</t>
        </is>
      </c>
      <c r="F175" s="26" t="inlineStr">
        <is>
          <t>Space-Time Creation</t>
        </is>
      </c>
      <c r="G175" s="26" t="n"/>
      <c r="H175" s="26" t="inlineStr">
        <is>
          <t>1st Edition</t>
        </is>
      </c>
      <c r="I175" s="26" t="inlineStr">
        <is>
          <t>1st Edition</t>
        </is>
      </c>
      <c r="J175" s="26" t="n"/>
      <c r="K175" s="26" t="inlineStr">
        <is>
          <t>Out of print</t>
        </is>
      </c>
      <c r="L175" s="26" t="inlineStr">
        <is>
          <t>Buy the Japanese single. Use eBay/Cardmarket or Mercari/Yahoo Japan through a proxy; bundle proxy orders.</t>
        </is>
      </c>
      <c r="M175" s="26" t="inlineStr">
        <is>
          <t>Azumarill Space-Time Creation Japanese 1st Edition</t>
        </is>
      </c>
      <c r="N175" s="26" t="inlineStr">
        <is>
          <t>Medium</t>
        </is>
      </c>
      <c r="O175" s="26" t="inlineStr">
        <is>
          <t>NEED</t>
        </is>
      </c>
      <c r="P175" s="26" t="n">
        <v>0</v>
      </c>
      <c r="Q175" s="26" t="n"/>
      <c r="R175" s="26" t="inlineStr">
        <is>
          <t>StableKey=AZF-174</t>
        </is>
      </c>
      <c r="S175" s="26" t="inlineStr">
        <is>
          <t>https://bulbapedia.bulbagarden.net/wiki/Azumarill_(TCG)</t>
        </is>
      </c>
    </row>
    <row r="176">
      <c r="A176" s="26" t="n">
        <v>175</v>
      </c>
      <c r="B176" s="26" t="inlineStr">
        <is>
          <t>Azumarill</t>
        </is>
      </c>
      <c r="C176" s="26" t="inlineStr">
        <is>
          <t>Azumarill</t>
        </is>
      </c>
      <c r="D176" s="26" t="inlineStr">
        <is>
          <t>Japanese</t>
        </is>
      </c>
      <c r="E176" s="26" t="inlineStr">
        <is>
          <t>Japan</t>
        </is>
      </c>
      <c r="F176" s="26" t="inlineStr">
        <is>
          <t>Space-Time Creation</t>
        </is>
      </c>
      <c r="G176" s="26" t="n"/>
      <c r="H176" s="26" t="inlineStr">
        <is>
          <t>Unlimited</t>
        </is>
      </c>
      <c r="I176" s="26" t="inlineStr">
        <is>
          <t>Unlimited</t>
        </is>
      </c>
      <c r="J176" s="26" t="n"/>
      <c r="K176" s="26" t="inlineStr">
        <is>
          <t>Out of print</t>
        </is>
      </c>
      <c r="L176" s="26" t="inlineStr">
        <is>
          <t>Buy the Japanese single. Use eBay/Cardmarket or Mercari/Yahoo Japan through a proxy; bundle proxy orders.</t>
        </is>
      </c>
      <c r="M176" s="26" t="inlineStr">
        <is>
          <t>Azumarill Space-Time Creation Japanese Unlimited</t>
        </is>
      </c>
      <c r="N176" s="26" t="inlineStr">
        <is>
          <t>Medium</t>
        </is>
      </c>
      <c r="O176" s="26" t="inlineStr">
        <is>
          <t>NEED</t>
        </is>
      </c>
      <c r="P176" s="26" t="n">
        <v>0</v>
      </c>
      <c r="Q176" s="26" t="n"/>
      <c r="R176" s="26" t="inlineStr">
        <is>
          <t>StableKey=AZF-175</t>
        </is>
      </c>
      <c r="S176" s="26" t="inlineStr">
        <is>
          <t>https://bulbapedia.bulbagarden.net/wiki/Azumarill_(TCG)</t>
        </is>
      </c>
    </row>
    <row r="177">
      <c r="A177" s="26" t="n">
        <v>176</v>
      </c>
      <c r="B177" s="26" t="inlineStr">
        <is>
          <t>Azumarill</t>
        </is>
      </c>
      <c r="C177" s="26" t="inlineStr">
        <is>
          <t>Azumarill</t>
        </is>
      </c>
      <c r="D177" s="26" t="inlineStr">
        <is>
          <t>English</t>
        </is>
      </c>
      <c r="E177" s="26" t="inlineStr">
        <is>
          <t>International</t>
        </is>
      </c>
      <c r="F177" s="26" t="inlineStr">
        <is>
          <t>HeartGold &amp; SoulSilver</t>
        </is>
      </c>
      <c r="G177" s="26" t="inlineStr">
        <is>
          <t>2/123</t>
        </is>
      </c>
      <c r="H177" s="26" t="inlineStr">
        <is>
          <t>Holo</t>
        </is>
      </c>
      <c r="I177" s="26" t="inlineStr">
        <is>
          <t>Holo</t>
        </is>
      </c>
      <c r="J177" s="26" t="n"/>
      <c r="K177" s="26" t="inlineStr">
        <is>
          <t>Out of print</t>
        </is>
      </c>
      <c r="L177" s="26" t="inlineStr">
        <is>
          <t>Buy the single. Start with TCGplayer/eBay or a local card show; bundle cheap cards from one seller.</t>
        </is>
      </c>
      <c r="M177" s="26" t="inlineStr">
        <is>
          <t>Azumarill 2/123 HeartGold &amp; SoulSilver English Holo</t>
        </is>
      </c>
      <c r="N177" s="26" t="inlineStr">
        <is>
          <t>Easy</t>
        </is>
      </c>
      <c r="O177" s="26" t="inlineStr">
        <is>
          <t>NEED</t>
        </is>
      </c>
      <c r="P177" s="26" t="n">
        <v>0</v>
      </c>
      <c r="Q177" s="26" t="n"/>
      <c r="R177" s="26" t="inlineStr">
        <is>
          <t>add official reverse/holo counterpart if issued; add official reverse/holo counterpart if issued; add official reverse/holo counterpart if issued; StableKey=AZF-176</t>
        </is>
      </c>
      <c r="S177" s="26" t="inlineStr">
        <is>
          <t>https://bulbapedia.bulbagarden.net/wiki/Azumarill_(TCG)</t>
        </is>
      </c>
    </row>
    <row r="178">
      <c r="A178" s="26" t="n">
        <v>177</v>
      </c>
      <c r="B178" s="26" t="inlineStr">
        <is>
          <t>Azumarill</t>
        </is>
      </c>
      <c r="C178" s="26" t="inlineStr">
        <is>
          <t>Azumarill</t>
        </is>
      </c>
      <c r="D178" s="26" t="inlineStr">
        <is>
          <t>English</t>
        </is>
      </c>
      <c r="E178" s="26" t="inlineStr">
        <is>
          <t>International</t>
        </is>
      </c>
      <c r="F178" s="26" t="inlineStr">
        <is>
          <t>HeartGold &amp; SoulSilver</t>
        </is>
      </c>
      <c r="G178" s="26" t="inlineStr">
        <is>
          <t>2/123</t>
        </is>
      </c>
      <c r="H178" s="26" t="inlineStr">
        <is>
          <t>Reverse Holo</t>
        </is>
      </c>
      <c r="I178" s="26" t="inlineStr">
        <is>
          <t>Reverse Holo</t>
        </is>
      </c>
      <c r="J178" s="26" t="n"/>
      <c r="K178" s="26" t="inlineStr">
        <is>
          <t>Out of print</t>
        </is>
      </c>
      <c r="L178" s="26" t="inlineStr">
        <is>
          <t>Buy the single. Start with TCGplayer/eBay or a local card show; bundle cheap cards from one seller.</t>
        </is>
      </c>
      <c r="M178" s="26" t="inlineStr">
        <is>
          <t>Azumarill 2/123 HeartGold &amp; SoulSilver English Reverse Holo</t>
        </is>
      </c>
      <c r="N178" s="26" t="inlineStr">
        <is>
          <t>Easy</t>
        </is>
      </c>
      <c r="O178" s="26" t="inlineStr">
        <is>
          <t>NEED</t>
        </is>
      </c>
      <c r="P178" s="26" t="n">
        <v>0</v>
      </c>
      <c r="Q178" s="26" t="n"/>
      <c r="R178" s="26" t="inlineStr">
        <is>
          <t>add official reverse/holo counterpart if issued; add official reverse/holo counterpart if issued; add official reverse/holo counterpart if issued; StableKey=AZF-177</t>
        </is>
      </c>
      <c r="S178" s="26" t="inlineStr">
        <is>
          <t>https://bulbapedia.bulbagarden.net/wiki/Azumarill_(TCG)</t>
        </is>
      </c>
    </row>
    <row r="179">
      <c r="A179" s="26" t="n">
        <v>178</v>
      </c>
      <c r="B179" s="26" t="inlineStr">
        <is>
          <t>Azumarill</t>
        </is>
      </c>
      <c r="C179" s="26" t="inlineStr">
        <is>
          <t>Azumarill</t>
        </is>
      </c>
      <c r="D179" s="26" t="inlineStr">
        <is>
          <t>Spanish</t>
        </is>
      </c>
      <c r="E179" s="26" t="inlineStr">
        <is>
          <t>International</t>
        </is>
      </c>
      <c r="F179" s="26" t="inlineStr">
        <is>
          <t>HeartGold &amp; SoulSilver</t>
        </is>
      </c>
      <c r="G179" s="26" t="inlineStr">
        <is>
          <t>2/123</t>
        </is>
      </c>
      <c r="H179" s="26" t="inlineStr">
        <is>
          <t>Holo</t>
        </is>
      </c>
      <c r="I179" s="26" t="inlineStr">
        <is>
          <t>Holo</t>
        </is>
      </c>
      <c r="J179" s="26" t="n"/>
      <c r="K179" s="26" t="inlineStr">
        <is>
          <t>Out of print</t>
        </is>
      </c>
      <c r="L179" s="26" t="inlineStr">
        <is>
          <t>Buy the Spanish single. Cardmarket/eBay are usually best; filter Language = Spanish and bundle orders.</t>
        </is>
      </c>
      <c r="M179" s="26" t="inlineStr">
        <is>
          <t>Azumarill 2/123 HeartGold &amp; SoulSilver Spanish Holo</t>
        </is>
      </c>
      <c r="N179" s="26" t="inlineStr">
        <is>
          <t>Medium</t>
        </is>
      </c>
      <c r="O179" s="26" t="inlineStr">
        <is>
          <t>NEED</t>
        </is>
      </c>
      <c r="P179" s="26" t="n">
        <v>0</v>
      </c>
      <c r="Q179" s="26" t="n"/>
      <c r="R179" s="26" t="inlineStr">
        <is>
          <t>add official reverse/holo counterpart if issued; add official reverse/holo counterpart if issued; add official reverse/holo counterpart if issued; StableKey=AZF-178</t>
        </is>
      </c>
      <c r="S179" s="26" t="inlineStr">
        <is>
          <t>https://bulbapedia.bulbagarden.net/wiki/Azumarill_(TCG)</t>
        </is>
      </c>
    </row>
    <row r="180">
      <c r="A180" s="26" t="n">
        <v>179</v>
      </c>
      <c r="B180" s="26" t="inlineStr">
        <is>
          <t>Azumarill</t>
        </is>
      </c>
      <c r="C180" s="26" t="inlineStr">
        <is>
          <t>Azumarill</t>
        </is>
      </c>
      <c r="D180" s="26" t="inlineStr">
        <is>
          <t>Spanish</t>
        </is>
      </c>
      <c r="E180" s="26" t="inlineStr">
        <is>
          <t>International</t>
        </is>
      </c>
      <c r="F180" s="26" t="inlineStr">
        <is>
          <t>HeartGold &amp; SoulSilver</t>
        </is>
      </c>
      <c r="G180" s="26" t="inlineStr">
        <is>
          <t>2/123</t>
        </is>
      </c>
      <c r="H180" s="26" t="inlineStr">
        <is>
          <t>Reverse Holo</t>
        </is>
      </c>
      <c r="I180" s="26" t="inlineStr">
        <is>
          <t>Reverse Holo</t>
        </is>
      </c>
      <c r="J180" s="26" t="n"/>
      <c r="K180" s="26" t="inlineStr">
        <is>
          <t>Out of print</t>
        </is>
      </c>
      <c r="L180" s="26" t="inlineStr">
        <is>
          <t>Buy the Spanish single. Cardmarket/eBay are usually best; filter Language = Spanish and bundle orders.</t>
        </is>
      </c>
      <c r="M180" s="26" t="inlineStr">
        <is>
          <t>Azumarill 2/123 HeartGold &amp; SoulSilver Spanish Reverse Holo</t>
        </is>
      </c>
      <c r="N180" s="26" t="inlineStr">
        <is>
          <t>Medium</t>
        </is>
      </c>
      <c r="O180" s="26" t="inlineStr">
        <is>
          <t>NEED</t>
        </is>
      </c>
      <c r="P180" s="26" t="n">
        <v>0</v>
      </c>
      <c r="Q180" s="26" t="n"/>
      <c r="R180" s="26" t="inlineStr">
        <is>
          <t>add official reverse/holo counterpart if issued; add official reverse/holo counterpart if issued; add official reverse/holo counterpart if issued; StableKey=AZF-179</t>
        </is>
      </c>
      <c r="S180" s="26" t="inlineStr">
        <is>
          <t>https://bulbapedia.bulbagarden.net/wiki/Azumarill_(TCG)</t>
        </is>
      </c>
    </row>
    <row r="181">
      <c r="A181" t="n">
        <v>180</v>
      </c>
      <c r="B181" t="inlineStr">
        <is>
          <t>Azumarill</t>
        </is>
      </c>
      <c r="C181" t="inlineStr">
        <is>
          <t>Azumarill</t>
        </is>
      </c>
      <c r="D181" t="inlineStr">
        <is>
          <t>Japanese</t>
        </is>
      </c>
      <c r="E181" t="inlineStr">
        <is>
          <t>Japan</t>
        </is>
      </c>
      <c r="F181" t="inlineStr">
        <is>
          <t>SoulSilver Collection</t>
        </is>
      </c>
      <c r="G181" t="inlineStr">
        <is>
          <t>025/070</t>
        </is>
      </c>
      <c r="H181" t="inlineStr">
        <is>
          <t>1st Edition</t>
        </is>
      </c>
      <c r="I181" t="inlineStr">
        <is>
          <t>1st Edition</t>
        </is>
      </c>
      <c r="K181" t="inlineStr">
        <is>
          <t>Out of print</t>
        </is>
      </c>
      <c r="L181" t="inlineStr">
        <is>
          <t>Buy the Japanese single. Use eBay/Cardmarket or Mercari/Yahoo Japan through a proxy; bundle proxy orders.</t>
        </is>
      </c>
      <c r="M181" t="inlineStr">
        <is>
          <t>Azumarill 025/070 SoulSilver Collection Japanese 1st Edition</t>
        </is>
      </c>
      <c r="N181" t="inlineStr">
        <is>
          <t>Medium</t>
        </is>
      </c>
      <c r="O181" t="inlineStr">
        <is>
          <t>NEED</t>
        </is>
      </c>
      <c r="P181" t="n">
        <v>0</v>
      </c>
      <c r="R181" t="inlineStr">
        <is>
          <t>StableKey=AZF-180</t>
        </is>
      </c>
      <c r="S181" t="inlineStr">
        <is>
          <t>https://bulbapedia.bulbagarden.net/wiki/Azumarill_(TCG)</t>
        </is>
      </c>
    </row>
    <row r="182">
      <c r="A182" t="n">
        <v>181</v>
      </c>
      <c r="B182" t="inlineStr">
        <is>
          <t>Azumarill</t>
        </is>
      </c>
      <c r="C182" t="inlineStr">
        <is>
          <t>Azumarill</t>
        </is>
      </c>
      <c r="D182" t="inlineStr">
        <is>
          <t>Japanese</t>
        </is>
      </c>
      <c r="E182" t="inlineStr">
        <is>
          <t>Japan</t>
        </is>
      </c>
      <c r="F182" t="inlineStr">
        <is>
          <t>SoulSilver Collection</t>
        </is>
      </c>
      <c r="G182" t="inlineStr">
        <is>
          <t>025/070</t>
        </is>
      </c>
      <c r="H182" t="inlineStr">
        <is>
          <t>1st Edition Mirror Reverse</t>
        </is>
      </c>
      <c r="I182" t="inlineStr">
        <is>
          <t>Mirror Reverse</t>
        </is>
      </c>
      <c r="K182" t="inlineStr">
        <is>
          <t>Out of print</t>
        </is>
      </c>
      <c r="L182" t="inlineStr">
        <is>
          <t>Buy the Japanese single. Use eBay/Cardmarket or Mercari/Yahoo Japan through a proxy; bundle proxy orders.</t>
        </is>
      </c>
      <c r="M182" t="inlineStr">
        <is>
          <t>Azumarill 025/070 SoulSilver Collection Japanese 1st Edition Mirror Reverse</t>
        </is>
      </c>
      <c r="N182" t="inlineStr">
        <is>
          <t>Medium</t>
        </is>
      </c>
      <c r="O182" t="inlineStr">
        <is>
          <t>NEED</t>
        </is>
      </c>
      <c r="P182" t="n">
        <v>0</v>
      </c>
      <c r="R182" t="inlineStr">
        <is>
          <t>StableKey=AZF-181</t>
        </is>
      </c>
      <c r="S182" t="inlineStr">
        <is>
          <t>https://bulbapedia.bulbagarden.net/wiki/Azumarill_(TCG)</t>
        </is>
      </c>
    </row>
    <row r="183">
      <c r="A183" t="n">
        <v>182</v>
      </c>
      <c r="B183" t="inlineStr">
        <is>
          <t>Azumarill</t>
        </is>
      </c>
      <c r="C183" t="inlineStr">
        <is>
          <t>Azumarill</t>
        </is>
      </c>
      <c r="D183" t="inlineStr">
        <is>
          <t>English</t>
        </is>
      </c>
      <c r="E183" t="inlineStr">
        <is>
          <t>International</t>
        </is>
      </c>
      <c r="F183" t="inlineStr">
        <is>
          <t>Boundaries Crossed</t>
        </is>
      </c>
      <c r="G183" t="inlineStr">
        <is>
          <t>37/149</t>
        </is>
      </c>
      <c r="H183" t="inlineStr">
        <is>
          <t>Standard</t>
        </is>
      </c>
      <c r="K183" t="inlineStr">
        <is>
          <t>Out of print</t>
        </is>
      </c>
      <c r="L183" t="inlineStr">
        <is>
          <t>Buy the single. Start with TCGplayer/eBay or a local card show; bundle cheap cards from one seller.</t>
        </is>
      </c>
      <c r="M183" t="inlineStr">
        <is>
          <t>Azumarill 37/149 Boundaries Crossed English Standard</t>
        </is>
      </c>
      <c r="N183" t="inlineStr">
        <is>
          <t>Easy</t>
        </is>
      </c>
      <c r="O183" t="inlineStr">
        <is>
          <t>NEED</t>
        </is>
      </c>
      <c r="P183" t="n">
        <v>0</v>
      </c>
      <c r="R183" t="inlineStr">
        <is>
          <t>add official reverse/holo counterpart if issued; add official reverse/holo counterpart if issued; add official reverse/holo counterpart if issued; StableKey=AZF-182</t>
        </is>
      </c>
      <c r="S183" t="inlineStr">
        <is>
          <t>https://bulbapedia.bulbagarden.net/wiki/Azumarill_(TCG)</t>
        </is>
      </c>
    </row>
    <row r="184">
      <c r="A184" t="n">
        <v>183</v>
      </c>
      <c r="B184" t="inlineStr">
        <is>
          <t>Azumarill</t>
        </is>
      </c>
      <c r="C184" t="inlineStr">
        <is>
          <t>Azumarill</t>
        </is>
      </c>
      <c r="D184" t="inlineStr">
        <is>
          <t>English</t>
        </is>
      </c>
      <c r="E184" t="inlineStr">
        <is>
          <t>International</t>
        </is>
      </c>
      <c r="F184" t="inlineStr">
        <is>
          <t>Boundaries Crossed</t>
        </is>
      </c>
      <c r="G184" t="inlineStr">
        <is>
          <t>37/149</t>
        </is>
      </c>
      <c r="H184" t="inlineStr">
        <is>
          <t>Reverse Holo</t>
        </is>
      </c>
      <c r="I184" t="inlineStr">
        <is>
          <t>Reverse Holo</t>
        </is>
      </c>
      <c r="K184" t="inlineStr">
        <is>
          <t>Out of print</t>
        </is>
      </c>
      <c r="L184" t="inlineStr">
        <is>
          <t>Buy the single. Start with TCGplayer/eBay or a local card show; bundle cheap cards from one seller.</t>
        </is>
      </c>
      <c r="M184" t="inlineStr">
        <is>
          <t>Azumarill 37/149 Boundaries Crossed English Reverse Holo</t>
        </is>
      </c>
      <c r="N184" t="inlineStr">
        <is>
          <t>Easy</t>
        </is>
      </c>
      <c r="O184" t="inlineStr">
        <is>
          <t>NEED</t>
        </is>
      </c>
      <c r="P184" t="n">
        <v>0</v>
      </c>
      <c r="R184" t="inlineStr">
        <is>
          <t>add official reverse/holo counterpart if issued; add official reverse/holo counterpart if issued; add official reverse/holo counterpart if issued; StableKey=AZF-183</t>
        </is>
      </c>
      <c r="S184" t="inlineStr">
        <is>
          <t>https://bulbapedia.bulbagarden.net/wiki/Azumarill_(TCG)</t>
        </is>
      </c>
    </row>
    <row r="185">
      <c r="A185" t="n">
        <v>184</v>
      </c>
      <c r="B185" t="inlineStr">
        <is>
          <t>Azumarill</t>
        </is>
      </c>
      <c r="C185" t="inlineStr">
        <is>
          <t>Azumarill</t>
        </is>
      </c>
      <c r="D185" t="inlineStr">
        <is>
          <t>Spanish</t>
        </is>
      </c>
      <c r="E185" t="inlineStr">
        <is>
          <t>International</t>
        </is>
      </c>
      <c r="F185" t="inlineStr">
        <is>
          <t>Boundaries Crossed</t>
        </is>
      </c>
      <c r="G185" t="inlineStr">
        <is>
          <t>37/149</t>
        </is>
      </c>
      <c r="H185" t="inlineStr">
        <is>
          <t>Standard</t>
        </is>
      </c>
      <c r="K185" t="inlineStr">
        <is>
          <t>Out of print</t>
        </is>
      </c>
      <c r="L185" t="inlineStr">
        <is>
          <t>Buy the Spanish single. Cardmarket/eBay are usually best; filter Language = Spanish and bundle orders.</t>
        </is>
      </c>
      <c r="M185" t="inlineStr">
        <is>
          <t>Azumarill 37/149 Boundaries Crossed Spanish Standard</t>
        </is>
      </c>
      <c r="N185" t="inlineStr">
        <is>
          <t>Medium</t>
        </is>
      </c>
      <c r="O185" t="inlineStr">
        <is>
          <t>NEED</t>
        </is>
      </c>
      <c r="P185" t="n">
        <v>0</v>
      </c>
      <c r="R185" t="inlineStr">
        <is>
          <t>add official reverse/holo counterpart if issued; add official reverse/holo counterpart if issued; add official reverse/holo counterpart if issued; StableKey=AZF-184</t>
        </is>
      </c>
      <c r="S185" t="inlineStr">
        <is>
          <t>https://bulbapedia.bulbagarden.net/wiki/Azumarill_(TCG)</t>
        </is>
      </c>
    </row>
    <row r="186">
      <c r="A186" t="n">
        <v>185</v>
      </c>
      <c r="B186" t="inlineStr">
        <is>
          <t>Azumarill</t>
        </is>
      </c>
      <c r="C186" t="inlineStr">
        <is>
          <t>Azumarill</t>
        </is>
      </c>
      <c r="D186" t="inlineStr">
        <is>
          <t>Spanish</t>
        </is>
      </c>
      <c r="E186" t="inlineStr">
        <is>
          <t>International</t>
        </is>
      </c>
      <c r="F186" t="inlineStr">
        <is>
          <t>Boundaries Crossed</t>
        </is>
      </c>
      <c r="G186" t="inlineStr">
        <is>
          <t>37/149</t>
        </is>
      </c>
      <c r="H186" t="inlineStr">
        <is>
          <t>Reverse Holo</t>
        </is>
      </c>
      <c r="I186" t="inlineStr">
        <is>
          <t>Reverse Holo</t>
        </is>
      </c>
      <c r="K186" t="inlineStr">
        <is>
          <t>Out of print</t>
        </is>
      </c>
      <c r="L186" t="inlineStr">
        <is>
          <t>Buy the Spanish single. Cardmarket/eBay are usually best; filter Language = Spanish and bundle orders.</t>
        </is>
      </c>
      <c r="M186" t="inlineStr">
        <is>
          <t>Azumarill 37/149 Boundaries Crossed Spanish Reverse Holo</t>
        </is>
      </c>
      <c r="N186" t="inlineStr">
        <is>
          <t>Medium</t>
        </is>
      </c>
      <c r="O186" t="inlineStr">
        <is>
          <t>NEED</t>
        </is>
      </c>
      <c r="P186" t="n">
        <v>0</v>
      </c>
      <c r="R186" t="inlineStr">
        <is>
          <t>add official reverse/holo counterpart if issued; add official reverse/holo counterpart if issued; add official reverse/holo counterpart if issued; StableKey=AZF-185</t>
        </is>
      </c>
      <c r="S186" t="inlineStr">
        <is>
          <t>https://bulbapedia.bulbagarden.net/wiki/Azumarill_(TCG)</t>
        </is>
      </c>
    </row>
    <row r="187">
      <c r="A187" t="n">
        <v>186</v>
      </c>
      <c r="B187" t="inlineStr">
        <is>
          <t>Azumarill</t>
        </is>
      </c>
      <c r="C187" t="inlineStr">
        <is>
          <t>Azumarill</t>
        </is>
      </c>
      <c r="D187" t="inlineStr">
        <is>
          <t>Japanese</t>
        </is>
      </c>
      <c r="E187" t="inlineStr">
        <is>
          <t>Japan</t>
        </is>
      </c>
      <c r="F187" t="inlineStr">
        <is>
          <t>Freeze Bolt</t>
        </is>
      </c>
      <c r="G187" t="inlineStr">
        <is>
          <t>016/059</t>
        </is>
      </c>
      <c r="H187" t="inlineStr">
        <is>
          <t>1st Edition</t>
        </is>
      </c>
      <c r="I187" t="inlineStr">
        <is>
          <t>1st Edition</t>
        </is>
      </c>
      <c r="K187" t="inlineStr">
        <is>
          <t>Out of print</t>
        </is>
      </c>
      <c r="L187" t="inlineStr">
        <is>
          <t>Buy the Japanese single. Use eBay/Cardmarket or Mercari/Yahoo Japan through a proxy; bundle proxy orders.</t>
        </is>
      </c>
      <c r="M187" t="inlineStr">
        <is>
          <t>Azumarill 016/059 Freeze Bolt Japanese 1st Edition</t>
        </is>
      </c>
      <c r="N187" t="inlineStr">
        <is>
          <t>Medium</t>
        </is>
      </c>
      <c r="O187" t="inlineStr">
        <is>
          <t>NEED</t>
        </is>
      </c>
      <c r="P187" t="n">
        <v>0</v>
      </c>
      <c r="R187" t="inlineStr">
        <is>
          <t>StableKey=AZF-186</t>
        </is>
      </c>
      <c r="S187" t="inlineStr">
        <is>
          <t>https://bulbapedia.bulbagarden.net/wiki/Azumarill_(TCG)</t>
        </is>
      </c>
    </row>
    <row r="188">
      <c r="A188" t="n">
        <v>187</v>
      </c>
      <c r="B188" t="inlineStr">
        <is>
          <t>Azumarill</t>
        </is>
      </c>
      <c r="C188" t="inlineStr">
        <is>
          <t>Azumarill</t>
        </is>
      </c>
      <c r="D188" t="inlineStr">
        <is>
          <t>Japanese</t>
        </is>
      </c>
      <c r="E188" t="inlineStr">
        <is>
          <t>Japan</t>
        </is>
      </c>
      <c r="F188" t="inlineStr">
        <is>
          <t>Freeze Bolt</t>
        </is>
      </c>
      <c r="G188" t="inlineStr">
        <is>
          <t>016/059</t>
        </is>
      </c>
      <c r="H188" t="inlineStr">
        <is>
          <t>Unlimited</t>
        </is>
      </c>
      <c r="I188" t="inlineStr">
        <is>
          <t>Unlimited</t>
        </is>
      </c>
      <c r="K188" t="inlineStr">
        <is>
          <t>Out of print</t>
        </is>
      </c>
      <c r="L188" t="inlineStr">
        <is>
          <t>Buy the Japanese single. Use eBay/Cardmarket or Mercari/Yahoo Japan through a proxy; bundle proxy orders.</t>
        </is>
      </c>
      <c r="M188" t="inlineStr">
        <is>
          <t>Azumarill 016/059 Freeze Bolt Japanese Unlimited</t>
        </is>
      </c>
      <c r="N188" t="inlineStr">
        <is>
          <t>Medium</t>
        </is>
      </c>
      <c r="O188" t="inlineStr">
        <is>
          <t>NEED</t>
        </is>
      </c>
      <c r="P188" t="n">
        <v>0</v>
      </c>
      <c r="R188" t="inlineStr">
        <is>
          <t>StableKey=AZF-187</t>
        </is>
      </c>
      <c r="S188" t="inlineStr">
        <is>
          <t>https://bulbapedia.bulbagarden.net/wiki/Azumarill_(TCG)</t>
        </is>
      </c>
    </row>
    <row r="189">
      <c r="A189" t="n">
        <v>188</v>
      </c>
      <c r="B189" t="inlineStr">
        <is>
          <t>Azumarill</t>
        </is>
      </c>
      <c r="C189" t="inlineStr">
        <is>
          <t>Azumarill</t>
        </is>
      </c>
      <c r="D189" t="inlineStr">
        <is>
          <t>English</t>
        </is>
      </c>
      <c r="E189" t="inlineStr">
        <is>
          <t>International</t>
        </is>
      </c>
      <c r="F189" t="inlineStr">
        <is>
          <t>Primal Clash</t>
        </is>
      </c>
      <c r="G189" t="inlineStr">
        <is>
          <t>103/160</t>
        </is>
      </c>
      <c r="H189" t="inlineStr">
        <is>
          <t>Standard</t>
        </is>
      </c>
      <c r="K189" t="inlineStr">
        <is>
          <t>Out of print</t>
        </is>
      </c>
      <c r="L189" t="inlineStr">
        <is>
          <t>Buy the single. Start with TCGplayer/eBay or a local card show; bundle cheap cards from one seller.</t>
        </is>
      </c>
      <c r="M189" t="inlineStr">
        <is>
          <t>Azumarill 103/160 Primal Clash English Standard</t>
        </is>
      </c>
      <c r="N189" t="inlineStr">
        <is>
          <t>Easy</t>
        </is>
      </c>
      <c r="O189" t="inlineStr">
        <is>
          <t>NEED</t>
        </is>
      </c>
      <c r="P189" t="n">
        <v>0</v>
      </c>
      <c r="R189" t="inlineStr">
        <is>
          <t>add official reverse/holo counterpart if issued; add official reverse/holo counterpart if issued; add official reverse/holo counterpart if issued; StableKey=AZF-188</t>
        </is>
      </c>
      <c r="S189" t="inlineStr">
        <is>
          <t>https://bulbapedia.bulbagarden.net/wiki/Azumarill_(TCG)</t>
        </is>
      </c>
    </row>
    <row r="190">
      <c r="A190" t="n">
        <v>189</v>
      </c>
      <c r="B190" t="inlineStr">
        <is>
          <t>Azumarill</t>
        </is>
      </c>
      <c r="C190" t="inlineStr">
        <is>
          <t>Azumarill</t>
        </is>
      </c>
      <c r="D190" t="inlineStr">
        <is>
          <t>English</t>
        </is>
      </c>
      <c r="E190" t="inlineStr">
        <is>
          <t>International</t>
        </is>
      </c>
      <c r="F190" t="inlineStr">
        <is>
          <t>Primal Clash</t>
        </is>
      </c>
      <c r="G190" t="inlineStr">
        <is>
          <t>103/160</t>
        </is>
      </c>
      <c r="H190" t="inlineStr">
        <is>
          <t>Reverse Holo</t>
        </is>
      </c>
      <c r="I190" t="inlineStr">
        <is>
          <t>Reverse Holo</t>
        </is>
      </c>
      <c r="K190" t="inlineStr">
        <is>
          <t>Out of print</t>
        </is>
      </c>
      <c r="L190" t="inlineStr">
        <is>
          <t>Buy the single. Start with TCGplayer/eBay or a local card show; bundle cheap cards from one seller.</t>
        </is>
      </c>
      <c r="M190" t="inlineStr">
        <is>
          <t>Azumarill 103/160 Primal Clash English Reverse Holo</t>
        </is>
      </c>
      <c r="N190" t="inlineStr">
        <is>
          <t>Easy</t>
        </is>
      </c>
      <c r="O190" t="inlineStr">
        <is>
          <t>NEED</t>
        </is>
      </c>
      <c r="P190" t="n">
        <v>0</v>
      </c>
      <c r="R190" t="inlineStr">
        <is>
          <t>add official reverse/holo counterpart if issued; add official reverse/holo counterpart if issued; add official reverse/holo counterpart if issued; StableKey=AZF-189</t>
        </is>
      </c>
      <c r="S190" t="inlineStr">
        <is>
          <t>https://bulbapedia.bulbagarden.net/wiki/Azumarill_(TCG)</t>
        </is>
      </c>
    </row>
    <row r="191">
      <c r="A191" t="n">
        <v>190</v>
      </c>
      <c r="B191" t="inlineStr">
        <is>
          <t>Azumarill</t>
        </is>
      </c>
      <c r="C191" t="inlineStr">
        <is>
          <t>Azumarill</t>
        </is>
      </c>
      <c r="D191" t="inlineStr">
        <is>
          <t>Spanish</t>
        </is>
      </c>
      <c r="E191" t="inlineStr">
        <is>
          <t>International</t>
        </is>
      </c>
      <c r="F191" t="inlineStr">
        <is>
          <t>Primal Clash</t>
        </is>
      </c>
      <c r="G191" t="inlineStr">
        <is>
          <t>103/160</t>
        </is>
      </c>
      <c r="H191" t="inlineStr">
        <is>
          <t>Standard</t>
        </is>
      </c>
      <c r="K191" t="inlineStr">
        <is>
          <t>Out of print</t>
        </is>
      </c>
      <c r="L191" t="inlineStr">
        <is>
          <t>Buy the Spanish single. Cardmarket/eBay are usually best; filter Language = Spanish and bundle orders.</t>
        </is>
      </c>
      <c r="M191" t="inlineStr">
        <is>
          <t>Azumarill 103/160 Primal Clash Spanish Standard</t>
        </is>
      </c>
      <c r="N191" t="inlineStr">
        <is>
          <t>Medium</t>
        </is>
      </c>
      <c r="O191" t="inlineStr">
        <is>
          <t>NEED</t>
        </is>
      </c>
      <c r="P191" t="n">
        <v>0</v>
      </c>
      <c r="R191" t="inlineStr">
        <is>
          <t>add official reverse/holo counterpart if issued; add official reverse/holo counterpart if issued; add official reverse/holo counterpart if issued; StableKey=AZF-190</t>
        </is>
      </c>
      <c r="S191" t="inlineStr">
        <is>
          <t>https://bulbapedia.bulbagarden.net/wiki/Azumarill_(TCG)</t>
        </is>
      </c>
    </row>
    <row r="192">
      <c r="A192" t="n">
        <v>191</v>
      </c>
      <c r="B192" t="inlineStr">
        <is>
          <t>Azumarill</t>
        </is>
      </c>
      <c r="C192" t="inlineStr">
        <is>
          <t>Azumarill</t>
        </is>
      </c>
      <c r="D192" t="inlineStr">
        <is>
          <t>Spanish</t>
        </is>
      </c>
      <c r="E192" t="inlineStr">
        <is>
          <t>International</t>
        </is>
      </c>
      <c r="F192" t="inlineStr">
        <is>
          <t>Primal Clash</t>
        </is>
      </c>
      <c r="G192" t="inlineStr">
        <is>
          <t>103/160</t>
        </is>
      </c>
      <c r="H192" t="inlineStr">
        <is>
          <t>Reverse Holo</t>
        </is>
      </c>
      <c r="I192" t="inlineStr">
        <is>
          <t>Reverse Holo</t>
        </is>
      </c>
      <c r="K192" t="inlineStr">
        <is>
          <t>Out of print</t>
        </is>
      </c>
      <c r="L192" t="inlineStr">
        <is>
          <t>Buy the Spanish single. Cardmarket/eBay are usually best; filter Language = Spanish and bundle orders.</t>
        </is>
      </c>
      <c r="M192" t="inlineStr">
        <is>
          <t>Azumarill 103/160 Primal Clash Spanish Reverse Holo</t>
        </is>
      </c>
      <c r="N192" t="inlineStr">
        <is>
          <t>Medium</t>
        </is>
      </c>
      <c r="O192" t="inlineStr">
        <is>
          <t>NEED</t>
        </is>
      </c>
      <c r="P192" t="n">
        <v>0</v>
      </c>
      <c r="R192" t="inlineStr">
        <is>
          <t>add official reverse/holo counterpart if issued; add official reverse/holo counterpart if issued; add official reverse/holo counterpart if issued; StableKey=AZF-191</t>
        </is>
      </c>
      <c r="S192" t="inlineStr">
        <is>
          <t>https://bulbapedia.bulbagarden.net/wiki/Azumarill_(TCG)</t>
        </is>
      </c>
    </row>
    <row r="193">
      <c r="A193" t="n">
        <v>192</v>
      </c>
      <c r="B193" t="inlineStr">
        <is>
          <t>Azumarill</t>
        </is>
      </c>
      <c r="C193" t="inlineStr">
        <is>
          <t>Azumarill</t>
        </is>
      </c>
      <c r="D193" t="inlineStr">
        <is>
          <t>Japanese</t>
        </is>
      </c>
      <c r="E193" t="inlineStr">
        <is>
          <t>Japan</t>
        </is>
      </c>
      <c r="F193" t="inlineStr">
        <is>
          <t>Tidal Storm</t>
        </is>
      </c>
      <c r="G193" t="inlineStr">
        <is>
          <t>048/070</t>
        </is>
      </c>
      <c r="H193" t="inlineStr">
        <is>
          <t>1st Edition</t>
        </is>
      </c>
      <c r="I193" t="inlineStr">
        <is>
          <t>1st Edition</t>
        </is>
      </c>
      <c r="K193" t="inlineStr">
        <is>
          <t>Out of print</t>
        </is>
      </c>
      <c r="L193" t="inlineStr">
        <is>
          <t>Buy the Japanese single. Use eBay/Cardmarket or Mercari/Yahoo Japan through a proxy; bundle proxy orders.</t>
        </is>
      </c>
      <c r="M193" t="inlineStr">
        <is>
          <t>Azumarill 048/070 Tidal Storm Japanese 1st Edition</t>
        </is>
      </c>
      <c r="N193" t="inlineStr">
        <is>
          <t>Medium</t>
        </is>
      </c>
      <c r="O193" t="inlineStr">
        <is>
          <t>NEED</t>
        </is>
      </c>
      <c r="P193" t="n">
        <v>0</v>
      </c>
      <c r="R193" t="inlineStr">
        <is>
          <t>StableKey=AZF-192</t>
        </is>
      </c>
      <c r="S193" t="inlineStr">
        <is>
          <t>https://bulbapedia.bulbagarden.net/wiki/Azumarill_(TCG)</t>
        </is>
      </c>
    </row>
    <row r="194">
      <c r="A194" t="n">
        <v>193</v>
      </c>
      <c r="B194" t="inlineStr">
        <is>
          <t>Azumarill</t>
        </is>
      </c>
      <c r="C194" t="inlineStr">
        <is>
          <t>Azumarill</t>
        </is>
      </c>
      <c r="D194" t="inlineStr">
        <is>
          <t>Japanese</t>
        </is>
      </c>
      <c r="E194" t="inlineStr">
        <is>
          <t>Japan</t>
        </is>
      </c>
      <c r="F194" t="inlineStr">
        <is>
          <t>Tidal Storm</t>
        </is>
      </c>
      <c r="G194" t="inlineStr">
        <is>
          <t>048/070</t>
        </is>
      </c>
      <c r="H194" t="inlineStr">
        <is>
          <t>Unlimited</t>
        </is>
      </c>
      <c r="I194" t="inlineStr">
        <is>
          <t>Unlimited</t>
        </is>
      </c>
      <c r="K194" t="inlineStr">
        <is>
          <t>Out of print</t>
        </is>
      </c>
      <c r="L194" t="inlineStr">
        <is>
          <t>Buy the Japanese single. Use eBay/Cardmarket or Mercari/Yahoo Japan through a proxy; bundle proxy orders.</t>
        </is>
      </c>
      <c r="M194" t="inlineStr">
        <is>
          <t>Azumarill 048/070 Tidal Storm Japanese Unlimited</t>
        </is>
      </c>
      <c r="N194" t="inlineStr">
        <is>
          <t>Medium</t>
        </is>
      </c>
      <c r="O194" t="inlineStr">
        <is>
          <t>NEED</t>
        </is>
      </c>
      <c r="P194" t="n">
        <v>0</v>
      </c>
      <c r="R194" t="inlineStr">
        <is>
          <t>StableKey=AZF-193</t>
        </is>
      </c>
      <c r="S194" t="inlineStr">
        <is>
          <t>https://bulbapedia.bulbagarden.net/wiki/Azumarill_(TCG)</t>
        </is>
      </c>
    </row>
    <row r="195">
      <c r="A195" t="n">
        <v>194</v>
      </c>
      <c r="B195" t="inlineStr">
        <is>
          <t>Azumarill</t>
        </is>
      </c>
      <c r="C195" t="inlineStr">
        <is>
          <t>Azumarill</t>
        </is>
      </c>
      <c r="D195" t="inlineStr">
        <is>
          <t>English</t>
        </is>
      </c>
      <c r="E195" t="inlineStr">
        <is>
          <t>International</t>
        </is>
      </c>
      <c r="F195" t="inlineStr">
        <is>
          <t>Primal Clash</t>
        </is>
      </c>
      <c r="G195" t="inlineStr">
        <is>
          <t>104/160</t>
        </is>
      </c>
      <c r="H195" t="inlineStr">
        <is>
          <t>Holo</t>
        </is>
      </c>
      <c r="I195" t="inlineStr">
        <is>
          <t>Holo</t>
        </is>
      </c>
      <c r="J195" t="inlineStr">
        <is>
          <t>Ancient Trait</t>
        </is>
      </c>
      <c r="K195" t="inlineStr">
        <is>
          <t>Out of print</t>
        </is>
      </c>
      <c r="L195" t="inlineStr">
        <is>
          <t>Buy the single. Start with TCGplayer/eBay or a local card show; bundle cheap cards from one seller.</t>
        </is>
      </c>
      <c r="M195" t="inlineStr">
        <is>
          <t>Azumarill 104/160 Primal Clash English Holo</t>
        </is>
      </c>
      <c r="N195" t="inlineStr">
        <is>
          <t>Easy</t>
        </is>
      </c>
      <c r="O195" t="inlineStr">
        <is>
          <t>NEED</t>
        </is>
      </c>
      <c r="P195" t="n">
        <v>0</v>
      </c>
      <c r="R195" t="inlineStr">
        <is>
          <t>add official reverse/holo counterpart if issued; add official reverse/holo counterpart if issued; add official reverse/holo counterpart if issued; StableKey=AZF-194</t>
        </is>
      </c>
      <c r="S195" t="inlineStr">
        <is>
          <t>https://bulbapedia.bulbagarden.net/wiki/Azumarill_(TCG)</t>
        </is>
      </c>
    </row>
    <row r="196">
      <c r="A196" t="n">
        <v>195</v>
      </c>
      <c r="B196" t="inlineStr">
        <is>
          <t>Azumarill</t>
        </is>
      </c>
      <c r="C196" t="inlineStr">
        <is>
          <t>Azumarill</t>
        </is>
      </c>
      <c r="D196" t="inlineStr">
        <is>
          <t>English</t>
        </is>
      </c>
      <c r="E196" t="inlineStr">
        <is>
          <t>International</t>
        </is>
      </c>
      <c r="F196" t="inlineStr">
        <is>
          <t>Primal Clash</t>
        </is>
      </c>
      <c r="G196" t="inlineStr">
        <is>
          <t>104/160</t>
        </is>
      </c>
      <c r="H196" t="inlineStr">
        <is>
          <t>Reverse Holo</t>
        </is>
      </c>
      <c r="I196" t="inlineStr">
        <is>
          <t>Reverse Holo</t>
        </is>
      </c>
      <c r="J196" t="inlineStr">
        <is>
          <t>Ancient Trait</t>
        </is>
      </c>
      <c r="K196" t="inlineStr">
        <is>
          <t>Out of print</t>
        </is>
      </c>
      <c r="L196" t="inlineStr">
        <is>
          <t>Buy the single. Start with TCGplayer/eBay or a local card show; bundle cheap cards from one seller.</t>
        </is>
      </c>
      <c r="M196" t="inlineStr">
        <is>
          <t>Azumarill 104/160 Primal Clash English Reverse Holo</t>
        </is>
      </c>
      <c r="N196" t="inlineStr">
        <is>
          <t>Easy</t>
        </is>
      </c>
      <c r="O196" t="inlineStr">
        <is>
          <t>NEED</t>
        </is>
      </c>
      <c r="P196" t="n">
        <v>0</v>
      </c>
      <c r="R196" t="inlineStr">
        <is>
          <t>add official reverse/holo counterpart if issued; add official reverse/holo counterpart if issued; add official reverse/holo counterpart if issued; StableKey=AZF-195</t>
        </is>
      </c>
      <c r="S196" t="inlineStr">
        <is>
          <t>https://bulbapedia.bulbagarden.net/wiki/Azumarill_(TCG)</t>
        </is>
      </c>
    </row>
    <row r="197">
      <c r="A197" t="n">
        <v>196</v>
      </c>
      <c r="B197" t="inlineStr">
        <is>
          <t>Azumarill</t>
        </is>
      </c>
      <c r="C197" t="inlineStr">
        <is>
          <t>Azumarill</t>
        </is>
      </c>
      <c r="D197" t="inlineStr">
        <is>
          <t>Spanish</t>
        </is>
      </c>
      <c r="E197" t="inlineStr">
        <is>
          <t>International</t>
        </is>
      </c>
      <c r="F197" t="inlineStr">
        <is>
          <t>Primal Clash</t>
        </is>
      </c>
      <c r="G197" t="inlineStr">
        <is>
          <t>104/160</t>
        </is>
      </c>
      <c r="H197" t="inlineStr">
        <is>
          <t>Holo</t>
        </is>
      </c>
      <c r="I197" t="inlineStr">
        <is>
          <t>Holo</t>
        </is>
      </c>
      <c r="J197" t="inlineStr">
        <is>
          <t>Ancient Trait</t>
        </is>
      </c>
      <c r="K197" t="inlineStr">
        <is>
          <t>Out of print</t>
        </is>
      </c>
      <c r="L197" t="inlineStr">
        <is>
          <t>Buy the Spanish single. Cardmarket/eBay are usually best; filter Language = Spanish and bundle orders.</t>
        </is>
      </c>
      <c r="M197" t="inlineStr">
        <is>
          <t>Azumarill 104/160 Primal Clash Spanish Holo</t>
        </is>
      </c>
      <c r="N197" t="inlineStr">
        <is>
          <t>Medium</t>
        </is>
      </c>
      <c r="O197" t="inlineStr">
        <is>
          <t>NEED</t>
        </is>
      </c>
      <c r="P197" t="n">
        <v>0</v>
      </c>
      <c r="R197" t="inlineStr">
        <is>
          <t>add official reverse/holo counterpart if issued; add official reverse/holo counterpart if issued; add official reverse/holo counterpart if issued; StableKey=AZF-196</t>
        </is>
      </c>
      <c r="S197" t="inlineStr">
        <is>
          <t>https://bulbapedia.bulbagarden.net/wiki/Azumarill_(TCG)</t>
        </is>
      </c>
    </row>
    <row r="198">
      <c r="A198" t="n">
        <v>197</v>
      </c>
      <c r="B198" t="inlineStr">
        <is>
          <t>Azumarill</t>
        </is>
      </c>
      <c r="C198" t="inlineStr">
        <is>
          <t>Azumarill</t>
        </is>
      </c>
      <c r="D198" t="inlineStr">
        <is>
          <t>Spanish</t>
        </is>
      </c>
      <c r="E198" t="inlineStr">
        <is>
          <t>International</t>
        </is>
      </c>
      <c r="F198" t="inlineStr">
        <is>
          <t>Primal Clash</t>
        </is>
      </c>
      <c r="G198" t="inlineStr">
        <is>
          <t>104/160</t>
        </is>
      </c>
      <c r="H198" t="inlineStr">
        <is>
          <t>Reverse Holo</t>
        </is>
      </c>
      <c r="I198" t="inlineStr">
        <is>
          <t>Reverse Holo</t>
        </is>
      </c>
      <c r="J198" t="inlineStr">
        <is>
          <t>Ancient Trait</t>
        </is>
      </c>
      <c r="K198" t="inlineStr">
        <is>
          <t>Out of print</t>
        </is>
      </c>
      <c r="L198" t="inlineStr">
        <is>
          <t>Buy the Spanish single. Cardmarket/eBay are usually best; filter Language = Spanish and bundle orders.</t>
        </is>
      </c>
      <c r="M198" t="inlineStr">
        <is>
          <t>Azumarill 104/160 Primal Clash Spanish Reverse Holo</t>
        </is>
      </c>
      <c r="N198" t="inlineStr">
        <is>
          <t>Medium</t>
        </is>
      </c>
      <c r="O198" t="inlineStr">
        <is>
          <t>NEED</t>
        </is>
      </c>
      <c r="P198" t="n">
        <v>0</v>
      </c>
      <c r="R198" t="inlineStr">
        <is>
          <t>add official reverse/holo counterpart if issued; add official reverse/holo counterpart if issued; add official reverse/holo counterpart if issued; StableKey=AZF-197</t>
        </is>
      </c>
      <c r="S198" t="inlineStr">
        <is>
          <t>https://bulbapedia.bulbagarden.net/wiki/Azumarill_(TCG)</t>
        </is>
      </c>
    </row>
    <row r="199">
      <c r="A199" t="n">
        <v>198</v>
      </c>
      <c r="B199" t="inlineStr">
        <is>
          <t>Azumarill</t>
        </is>
      </c>
      <c r="C199" t="inlineStr">
        <is>
          <t>Azumarill</t>
        </is>
      </c>
      <c r="D199" t="inlineStr">
        <is>
          <t>Japanese</t>
        </is>
      </c>
      <c r="E199" t="inlineStr">
        <is>
          <t>Japan</t>
        </is>
      </c>
      <c r="F199" t="inlineStr">
        <is>
          <t>Tidal Storm</t>
        </is>
      </c>
      <c r="G199" t="inlineStr">
        <is>
          <t>049/070</t>
        </is>
      </c>
      <c r="H199" t="inlineStr">
        <is>
          <t>1st Edition</t>
        </is>
      </c>
      <c r="I199" t="inlineStr">
        <is>
          <t>1st Edition</t>
        </is>
      </c>
      <c r="J199" t="inlineStr">
        <is>
          <t>Ancient Trait</t>
        </is>
      </c>
      <c r="K199" t="inlineStr">
        <is>
          <t>Out of print</t>
        </is>
      </c>
      <c r="L199" t="inlineStr">
        <is>
          <t>Buy the Japanese single. Use eBay/Cardmarket or Mercari/Yahoo Japan through a proxy; bundle proxy orders.</t>
        </is>
      </c>
      <c r="M199" t="inlineStr">
        <is>
          <t>Azumarill 049/070 Tidal Storm Japanese 1st Edition</t>
        </is>
      </c>
      <c r="N199" t="inlineStr">
        <is>
          <t>Medium</t>
        </is>
      </c>
      <c r="O199" t="inlineStr">
        <is>
          <t>NEED</t>
        </is>
      </c>
      <c r="P199" t="n">
        <v>0</v>
      </c>
      <c r="R199" t="inlineStr">
        <is>
          <t>StableKey=AZF-198</t>
        </is>
      </c>
      <c r="S199" t="inlineStr">
        <is>
          <t>https://bulbapedia.bulbagarden.net/wiki/Azumarill_(TCG)</t>
        </is>
      </c>
    </row>
    <row r="200">
      <c r="A200" t="n">
        <v>199</v>
      </c>
      <c r="B200" t="inlineStr">
        <is>
          <t>Azumarill</t>
        </is>
      </c>
      <c r="C200" t="inlineStr">
        <is>
          <t>Azumarill</t>
        </is>
      </c>
      <c r="D200" t="inlineStr">
        <is>
          <t>Japanese</t>
        </is>
      </c>
      <c r="E200" t="inlineStr">
        <is>
          <t>Japan</t>
        </is>
      </c>
      <c r="F200" t="inlineStr">
        <is>
          <t>Tidal Storm</t>
        </is>
      </c>
      <c r="G200" t="inlineStr">
        <is>
          <t>049/070</t>
        </is>
      </c>
      <c r="H200" t="inlineStr">
        <is>
          <t>Unlimited</t>
        </is>
      </c>
      <c r="I200" t="inlineStr">
        <is>
          <t>Unlimited</t>
        </is>
      </c>
      <c r="J200" t="inlineStr">
        <is>
          <t>Ancient Trait</t>
        </is>
      </c>
      <c r="K200" t="inlineStr">
        <is>
          <t>Out of print</t>
        </is>
      </c>
      <c r="L200" t="inlineStr">
        <is>
          <t>Buy the Japanese single. Use eBay/Cardmarket or Mercari/Yahoo Japan through a proxy; bundle proxy orders.</t>
        </is>
      </c>
      <c r="M200" t="inlineStr">
        <is>
          <t>Azumarill 049/070 Tidal Storm Japanese Unlimited</t>
        </is>
      </c>
      <c r="N200" t="inlineStr">
        <is>
          <t>Medium</t>
        </is>
      </c>
      <c r="O200" t="inlineStr">
        <is>
          <t>NEED</t>
        </is>
      </c>
      <c r="P200" t="n">
        <v>0</v>
      </c>
      <c r="R200" t="inlineStr">
        <is>
          <t>StableKey=AZF-199</t>
        </is>
      </c>
      <c r="S200" t="inlineStr">
        <is>
          <t>https://bulbapedia.bulbagarden.net/wiki/Azumarill_(TCG)</t>
        </is>
      </c>
    </row>
    <row r="201">
      <c r="A201" t="n">
        <v>200</v>
      </c>
      <c r="B201" t="inlineStr">
        <is>
          <t>Azumarill</t>
        </is>
      </c>
      <c r="C201" t="inlineStr">
        <is>
          <t>Azumarill</t>
        </is>
      </c>
      <c r="D201" t="inlineStr">
        <is>
          <t>English</t>
        </is>
      </c>
      <c r="E201" t="inlineStr">
        <is>
          <t>International</t>
        </is>
      </c>
      <c r="F201" t="inlineStr">
        <is>
          <t>Steam Siege</t>
        </is>
      </c>
      <c r="G201" t="inlineStr">
        <is>
          <t>77/114</t>
        </is>
      </c>
      <c r="H201" t="inlineStr">
        <is>
          <t>Standard</t>
        </is>
      </c>
      <c r="J201" t="inlineStr">
        <is>
          <t>Dual type</t>
        </is>
      </c>
      <c r="K201" t="inlineStr">
        <is>
          <t>Out of print</t>
        </is>
      </c>
      <c r="L201" t="inlineStr">
        <is>
          <t>Buy the single. Start with TCGplayer/eBay or a local card show; bundle cheap cards from one seller.</t>
        </is>
      </c>
      <c r="M201" t="inlineStr">
        <is>
          <t>Azumarill 77/114 Steam Siege English Standard</t>
        </is>
      </c>
      <c r="N201" t="inlineStr">
        <is>
          <t>Easy</t>
        </is>
      </c>
      <c r="O201" t="inlineStr">
        <is>
          <t>NEED</t>
        </is>
      </c>
      <c r="P201" t="n">
        <v>0</v>
      </c>
      <c r="R201" t="inlineStr">
        <is>
          <t>add official reverse/holo counterpart if issued; add official reverse/holo counterpart if issued; add official reverse/holo counterpart if issued; StableKey=AZF-200</t>
        </is>
      </c>
      <c r="S201" t="inlineStr">
        <is>
          <t>https://bulbapedia.bulbagarden.net/wiki/Azumarill_(TCG)</t>
        </is>
      </c>
    </row>
    <row r="202">
      <c r="A202" t="n">
        <v>201</v>
      </c>
      <c r="B202" t="inlineStr">
        <is>
          <t>Azumarill</t>
        </is>
      </c>
      <c r="C202" t="inlineStr">
        <is>
          <t>Azumarill</t>
        </is>
      </c>
      <c r="D202" t="inlineStr">
        <is>
          <t>English</t>
        </is>
      </c>
      <c r="E202" t="inlineStr">
        <is>
          <t>International</t>
        </is>
      </c>
      <c r="F202" t="inlineStr">
        <is>
          <t>Steam Siege</t>
        </is>
      </c>
      <c r="G202" t="inlineStr">
        <is>
          <t>77/114</t>
        </is>
      </c>
      <c r="H202" t="inlineStr">
        <is>
          <t>Reverse Holo</t>
        </is>
      </c>
      <c r="I202" t="inlineStr">
        <is>
          <t>Reverse Holo</t>
        </is>
      </c>
      <c r="J202" t="inlineStr">
        <is>
          <t>Dual type</t>
        </is>
      </c>
      <c r="K202" t="inlineStr">
        <is>
          <t>Out of print</t>
        </is>
      </c>
      <c r="L202" t="inlineStr">
        <is>
          <t>Buy the single. Start with TCGplayer/eBay or a local card show; bundle cheap cards from one seller.</t>
        </is>
      </c>
      <c r="M202" t="inlineStr">
        <is>
          <t>Azumarill 77/114 Steam Siege English Reverse Holo</t>
        </is>
      </c>
      <c r="N202" t="inlineStr">
        <is>
          <t>Easy</t>
        </is>
      </c>
      <c r="O202" t="inlineStr">
        <is>
          <t>NEED</t>
        </is>
      </c>
      <c r="P202" t="n">
        <v>0</v>
      </c>
      <c r="R202" t="inlineStr">
        <is>
          <t>add official reverse/holo counterpart if issued; add official reverse/holo counterpart if issued; add official reverse/holo counterpart if issued; StableKey=AZF-201</t>
        </is>
      </c>
      <c r="S202" t="inlineStr">
        <is>
          <t>https://bulbapedia.bulbagarden.net/wiki/Azumarill_(TCG)</t>
        </is>
      </c>
    </row>
    <row r="203">
      <c r="A203" t="n">
        <v>202</v>
      </c>
      <c r="B203" t="inlineStr">
        <is>
          <t>Azumarill</t>
        </is>
      </c>
      <c r="C203" t="inlineStr">
        <is>
          <t>Azumarill</t>
        </is>
      </c>
      <c r="D203" t="inlineStr">
        <is>
          <t>Spanish</t>
        </is>
      </c>
      <c r="E203" t="inlineStr">
        <is>
          <t>International</t>
        </is>
      </c>
      <c r="F203" t="inlineStr">
        <is>
          <t>Steam Siege</t>
        </is>
      </c>
      <c r="G203" t="inlineStr">
        <is>
          <t>77/114</t>
        </is>
      </c>
      <c r="H203" t="inlineStr">
        <is>
          <t>Standard</t>
        </is>
      </c>
      <c r="J203" t="inlineStr">
        <is>
          <t>Dual type</t>
        </is>
      </c>
      <c r="K203" t="inlineStr">
        <is>
          <t>Out of print</t>
        </is>
      </c>
      <c r="L203" t="inlineStr">
        <is>
          <t>Buy the Spanish single. Cardmarket/eBay are usually best; filter Language = Spanish and bundle orders.</t>
        </is>
      </c>
      <c r="M203" t="inlineStr">
        <is>
          <t>Azumarill 77/114 Steam Siege Spanish Standard</t>
        </is>
      </c>
      <c r="N203" t="inlineStr">
        <is>
          <t>Medium</t>
        </is>
      </c>
      <c r="O203" t="inlineStr">
        <is>
          <t>NEED</t>
        </is>
      </c>
      <c r="P203" t="n">
        <v>0</v>
      </c>
      <c r="R203" t="inlineStr">
        <is>
          <t>add official reverse/holo counterpart if issued; add official reverse/holo counterpart if issued; add official reverse/holo counterpart if issued; StableKey=AZF-202</t>
        </is>
      </c>
      <c r="S203" t="inlineStr">
        <is>
          <t>https://bulbapedia.bulbagarden.net/wiki/Azumarill_(TCG)</t>
        </is>
      </c>
    </row>
    <row r="204">
      <c r="A204" t="n">
        <v>203</v>
      </c>
      <c r="B204" t="inlineStr">
        <is>
          <t>Azumarill</t>
        </is>
      </c>
      <c r="C204" t="inlineStr">
        <is>
          <t>Azumarill</t>
        </is>
      </c>
      <c r="D204" t="inlineStr">
        <is>
          <t>Spanish</t>
        </is>
      </c>
      <c r="E204" t="inlineStr">
        <is>
          <t>International</t>
        </is>
      </c>
      <c r="F204" t="inlineStr">
        <is>
          <t>Steam Siege</t>
        </is>
      </c>
      <c r="G204" t="inlineStr">
        <is>
          <t>77/114</t>
        </is>
      </c>
      <c r="H204" t="inlineStr">
        <is>
          <t>Reverse Holo</t>
        </is>
      </c>
      <c r="I204" t="inlineStr">
        <is>
          <t>Reverse Holo</t>
        </is>
      </c>
      <c r="J204" t="inlineStr">
        <is>
          <t>Dual type</t>
        </is>
      </c>
      <c r="K204" t="inlineStr">
        <is>
          <t>Out of print</t>
        </is>
      </c>
      <c r="L204" t="inlineStr">
        <is>
          <t>Buy the Spanish single. Cardmarket/eBay are usually best; filter Language = Spanish and bundle orders.</t>
        </is>
      </c>
      <c r="M204" t="inlineStr">
        <is>
          <t>Azumarill 77/114 Steam Siege Spanish Reverse Holo</t>
        </is>
      </c>
      <c r="N204" t="inlineStr">
        <is>
          <t>Medium</t>
        </is>
      </c>
      <c r="O204" t="inlineStr">
        <is>
          <t>NEED</t>
        </is>
      </c>
      <c r="P204" t="n">
        <v>0</v>
      </c>
      <c r="R204" t="inlineStr">
        <is>
          <t>add official reverse/holo counterpart if issued; add official reverse/holo counterpart if issued; add official reverse/holo counterpart if issued; StableKey=AZF-203</t>
        </is>
      </c>
      <c r="S204" t="inlineStr">
        <is>
          <t>https://bulbapedia.bulbagarden.net/wiki/Azumarill_(TCG)</t>
        </is>
      </c>
    </row>
    <row r="205">
      <c r="A205" t="n">
        <v>204</v>
      </c>
      <c r="B205" t="inlineStr">
        <is>
          <t>Azumarill</t>
        </is>
      </c>
      <c r="C205" t="inlineStr">
        <is>
          <t>Azumarill</t>
        </is>
      </c>
      <c r="D205" t="inlineStr">
        <is>
          <t>Japanese</t>
        </is>
      </c>
      <c r="E205" t="inlineStr">
        <is>
          <t>Japan</t>
        </is>
      </c>
      <c r="F205" t="inlineStr">
        <is>
          <t>Cruel Traitor</t>
        </is>
      </c>
      <c r="G205" t="inlineStr">
        <is>
          <t>037/054</t>
        </is>
      </c>
      <c r="H205" t="inlineStr">
        <is>
          <t>1st Edition</t>
        </is>
      </c>
      <c r="I205" t="inlineStr">
        <is>
          <t>1st Edition</t>
        </is>
      </c>
      <c r="J205" t="inlineStr">
        <is>
          <t>Dual type</t>
        </is>
      </c>
      <c r="K205" t="inlineStr">
        <is>
          <t>Out of print</t>
        </is>
      </c>
      <c r="L205" t="inlineStr">
        <is>
          <t>Buy the Japanese single. Use eBay/Cardmarket or Mercari/Yahoo Japan through a proxy; bundle proxy orders.</t>
        </is>
      </c>
      <c r="M205" t="inlineStr">
        <is>
          <t>Azumarill 037/054 Cruel Traitor Japanese 1st Edition</t>
        </is>
      </c>
      <c r="N205" t="inlineStr">
        <is>
          <t>Medium</t>
        </is>
      </c>
      <c r="O205" t="inlineStr">
        <is>
          <t>NEED</t>
        </is>
      </c>
      <c r="P205" t="n">
        <v>0</v>
      </c>
      <c r="R205" t="inlineStr">
        <is>
          <t>StableKey=AZF-204</t>
        </is>
      </c>
      <c r="S205" t="inlineStr">
        <is>
          <t>https://bulbapedia.bulbagarden.net/wiki/Azumarill_(TCG)</t>
        </is>
      </c>
    </row>
    <row r="206">
      <c r="A206" t="n">
        <v>205</v>
      </c>
      <c r="B206" t="inlineStr">
        <is>
          <t>Azumarill</t>
        </is>
      </c>
      <c r="C206" t="inlineStr">
        <is>
          <t>Azumarill</t>
        </is>
      </c>
      <c r="D206" t="inlineStr">
        <is>
          <t>Japanese</t>
        </is>
      </c>
      <c r="E206" t="inlineStr">
        <is>
          <t>Japan</t>
        </is>
      </c>
      <c r="F206" t="inlineStr">
        <is>
          <t>Cruel Traitor</t>
        </is>
      </c>
      <c r="G206" t="inlineStr">
        <is>
          <t>037/054</t>
        </is>
      </c>
      <c r="H206" t="inlineStr">
        <is>
          <t>Unlimited</t>
        </is>
      </c>
      <c r="I206" t="inlineStr">
        <is>
          <t>Unlimited</t>
        </is>
      </c>
      <c r="J206" t="inlineStr">
        <is>
          <t>Dual type</t>
        </is>
      </c>
      <c r="K206" t="inlineStr">
        <is>
          <t>Out of print</t>
        </is>
      </c>
      <c r="L206" t="inlineStr">
        <is>
          <t>Buy the Japanese single. Use eBay/Cardmarket or Mercari/Yahoo Japan through a proxy; bundle proxy orders.</t>
        </is>
      </c>
      <c r="M206" t="inlineStr">
        <is>
          <t>Azumarill 037/054 Cruel Traitor Japanese Unlimited</t>
        </is>
      </c>
      <c r="N206" t="inlineStr">
        <is>
          <t>Medium</t>
        </is>
      </c>
      <c r="O206" t="inlineStr">
        <is>
          <t>NEED</t>
        </is>
      </c>
      <c r="P206" t="n">
        <v>0</v>
      </c>
      <c r="R206" t="inlineStr">
        <is>
          <t>StableKey=AZF-205</t>
        </is>
      </c>
      <c r="S206" t="inlineStr">
        <is>
          <t>https://bulbapedia.bulbagarden.net/wiki/Azumarill_(TCG)</t>
        </is>
      </c>
    </row>
    <row r="207">
      <c r="A207" t="n">
        <v>206</v>
      </c>
      <c r="B207" t="inlineStr">
        <is>
          <t>Azumarill</t>
        </is>
      </c>
      <c r="C207" t="inlineStr">
        <is>
          <t>Azumarill</t>
        </is>
      </c>
      <c r="D207" t="inlineStr">
        <is>
          <t>English</t>
        </is>
      </c>
      <c r="E207" t="inlineStr">
        <is>
          <t>International</t>
        </is>
      </c>
      <c r="F207" t="inlineStr">
        <is>
          <t>Burning Shadows</t>
        </is>
      </c>
      <c r="G207" t="inlineStr">
        <is>
          <t>35/147</t>
        </is>
      </c>
      <c r="H207" t="inlineStr">
        <is>
          <t>Standard</t>
        </is>
      </c>
      <c r="K207" t="inlineStr">
        <is>
          <t>Out of print</t>
        </is>
      </c>
      <c r="L207" t="inlineStr">
        <is>
          <t>Buy the single. Start with TCGplayer/eBay or a local card show; bundle cheap cards from one seller.</t>
        </is>
      </c>
      <c r="M207" t="inlineStr">
        <is>
          <t>Azumarill 35/147 Burning Shadows English Standard</t>
        </is>
      </c>
      <c r="N207" t="inlineStr">
        <is>
          <t>Easy</t>
        </is>
      </c>
      <c r="O207" t="inlineStr">
        <is>
          <t>NEED</t>
        </is>
      </c>
      <c r="P207" t="n">
        <v>0</v>
      </c>
      <c r="R207" t="inlineStr">
        <is>
          <t>add official reverse/holo counterpart if issued; add official reverse/holo counterpart if issued; add official reverse/holo counterpart if issued; StableKey=AZF-206</t>
        </is>
      </c>
      <c r="S207" t="inlineStr">
        <is>
          <t>https://bulbapedia.bulbagarden.net/wiki/Azumarill_(TCG)</t>
        </is>
      </c>
    </row>
    <row r="208">
      <c r="A208" t="n">
        <v>207</v>
      </c>
      <c r="B208" t="inlineStr">
        <is>
          <t>Azumarill</t>
        </is>
      </c>
      <c r="C208" t="inlineStr">
        <is>
          <t>Azumarill</t>
        </is>
      </c>
      <c r="D208" t="inlineStr">
        <is>
          <t>English</t>
        </is>
      </c>
      <c r="E208" t="inlineStr">
        <is>
          <t>International</t>
        </is>
      </c>
      <c r="F208" t="inlineStr">
        <is>
          <t>Burning Shadows</t>
        </is>
      </c>
      <c r="G208" t="inlineStr">
        <is>
          <t>35/147</t>
        </is>
      </c>
      <c r="H208" t="inlineStr">
        <is>
          <t>Reverse Holo</t>
        </is>
      </c>
      <c r="I208" t="inlineStr">
        <is>
          <t>Reverse Holo</t>
        </is>
      </c>
      <c r="K208" t="inlineStr">
        <is>
          <t>Out of print</t>
        </is>
      </c>
      <c r="L208" t="inlineStr">
        <is>
          <t>Buy the single. Start with TCGplayer/eBay or a local card show; bundle cheap cards from one seller.</t>
        </is>
      </c>
      <c r="M208" t="inlineStr">
        <is>
          <t>Azumarill 35/147 Burning Shadows English Reverse Holo</t>
        </is>
      </c>
      <c r="N208" t="inlineStr">
        <is>
          <t>Easy</t>
        </is>
      </c>
      <c r="O208" t="inlineStr">
        <is>
          <t>NEED</t>
        </is>
      </c>
      <c r="P208" t="n">
        <v>0</v>
      </c>
      <c r="R208" t="inlineStr">
        <is>
          <t>add official reverse/holo counterpart if issued; add official reverse/holo counterpart if issued; add official reverse/holo counterpart if issued; StableKey=AZF-207</t>
        </is>
      </c>
      <c r="S208" t="inlineStr">
        <is>
          <t>https://bulbapedia.bulbagarden.net/wiki/Azumarill_(TCG)</t>
        </is>
      </c>
    </row>
    <row r="209">
      <c r="A209" t="n">
        <v>208</v>
      </c>
      <c r="B209" t="inlineStr">
        <is>
          <t>Azumarill</t>
        </is>
      </c>
      <c r="C209" t="inlineStr">
        <is>
          <t>Azumarill</t>
        </is>
      </c>
      <c r="D209" t="inlineStr">
        <is>
          <t>Spanish</t>
        </is>
      </c>
      <c r="E209" t="inlineStr">
        <is>
          <t>International</t>
        </is>
      </c>
      <c r="F209" t="inlineStr">
        <is>
          <t>Burning Shadows</t>
        </is>
      </c>
      <c r="G209" t="inlineStr">
        <is>
          <t>35/147</t>
        </is>
      </c>
      <c r="H209" t="inlineStr">
        <is>
          <t>Standard</t>
        </is>
      </c>
      <c r="K209" t="inlineStr">
        <is>
          <t>Out of print</t>
        </is>
      </c>
      <c r="L209" t="inlineStr">
        <is>
          <t>Buy the Spanish single. Cardmarket/eBay are usually best; filter Language = Spanish and bundle orders.</t>
        </is>
      </c>
      <c r="M209" t="inlineStr">
        <is>
          <t>Azumarill 35/147 Burning Shadows Spanish Standard</t>
        </is>
      </c>
      <c r="N209" t="inlineStr">
        <is>
          <t>Medium</t>
        </is>
      </c>
      <c r="O209" t="inlineStr">
        <is>
          <t>NEED</t>
        </is>
      </c>
      <c r="P209" t="n">
        <v>0</v>
      </c>
      <c r="R209" t="inlineStr">
        <is>
          <t>add official reverse/holo counterpart if issued; add official reverse/holo counterpart if issued; add official reverse/holo counterpart if issued; StableKey=AZF-208</t>
        </is>
      </c>
      <c r="S209" t="inlineStr">
        <is>
          <t>https://bulbapedia.bulbagarden.net/wiki/Azumarill_(TCG)</t>
        </is>
      </c>
    </row>
    <row r="210">
      <c r="A210" t="n">
        <v>209</v>
      </c>
      <c r="B210" t="inlineStr">
        <is>
          <t>Azumarill</t>
        </is>
      </c>
      <c r="C210" t="inlineStr">
        <is>
          <t>Azumarill</t>
        </is>
      </c>
      <c r="D210" t="inlineStr">
        <is>
          <t>Spanish</t>
        </is>
      </c>
      <c r="E210" t="inlineStr">
        <is>
          <t>International</t>
        </is>
      </c>
      <c r="F210" t="inlineStr">
        <is>
          <t>Burning Shadows</t>
        </is>
      </c>
      <c r="G210" t="inlineStr">
        <is>
          <t>35/147</t>
        </is>
      </c>
      <c r="H210" t="inlineStr">
        <is>
          <t>Reverse Holo</t>
        </is>
      </c>
      <c r="I210" t="inlineStr">
        <is>
          <t>Reverse Holo</t>
        </is>
      </c>
      <c r="K210" t="inlineStr">
        <is>
          <t>Out of print</t>
        </is>
      </c>
      <c r="L210" t="inlineStr">
        <is>
          <t>Buy the Spanish single. Cardmarket/eBay are usually best; filter Language = Spanish and bundle orders.</t>
        </is>
      </c>
      <c r="M210" t="inlineStr">
        <is>
          <t>Azumarill 35/147 Burning Shadows Spanish Reverse Holo</t>
        </is>
      </c>
      <c r="N210" t="inlineStr">
        <is>
          <t>Medium</t>
        </is>
      </c>
      <c r="O210" t="inlineStr">
        <is>
          <t>NEED</t>
        </is>
      </c>
      <c r="P210" t="n">
        <v>0</v>
      </c>
      <c r="R210" t="inlineStr">
        <is>
          <t>add official reverse/holo counterpart if issued; add official reverse/holo counterpart if issued; add official reverse/holo counterpart if issued; StableKey=AZF-209</t>
        </is>
      </c>
      <c r="S210" t="inlineStr">
        <is>
          <t>https://bulbapedia.bulbagarden.net/wiki/Azumarill_(TCG)</t>
        </is>
      </c>
    </row>
    <row r="211">
      <c r="A211" t="n">
        <v>210</v>
      </c>
      <c r="B211" t="inlineStr">
        <is>
          <t>Azumarill</t>
        </is>
      </c>
      <c r="C211" t="inlineStr">
        <is>
          <t>Azumarill</t>
        </is>
      </c>
      <c r="D211" t="inlineStr">
        <is>
          <t>Japanese</t>
        </is>
      </c>
      <c r="E211" t="inlineStr">
        <is>
          <t>Japan</t>
        </is>
      </c>
      <c r="F211" t="inlineStr">
        <is>
          <t>To Have Seen the Battle Rainbow</t>
        </is>
      </c>
      <c r="G211" t="inlineStr">
        <is>
          <t>020/051</t>
        </is>
      </c>
      <c r="H211" t="inlineStr">
        <is>
          <t>Standard</t>
        </is>
      </c>
      <c r="K211" t="inlineStr">
        <is>
          <t>Out of print</t>
        </is>
      </c>
      <c r="L211" t="inlineStr">
        <is>
          <t>Buy the Japanese single. Use eBay/Cardmarket or Mercari/Yahoo Japan through a proxy; bundle proxy orders.</t>
        </is>
      </c>
      <c r="M211" t="inlineStr">
        <is>
          <t>Azumarill 020/051 To Have Seen the Battle Rainbow Japanese Standard</t>
        </is>
      </c>
      <c r="N211" t="inlineStr">
        <is>
          <t>Medium</t>
        </is>
      </c>
      <c r="O211" t="inlineStr">
        <is>
          <t>NEED</t>
        </is>
      </c>
      <c r="P211" t="n">
        <v>0</v>
      </c>
      <c r="R211" t="inlineStr">
        <is>
          <t>StableKey=AZF-210</t>
        </is>
      </c>
      <c r="S211" t="inlineStr">
        <is>
          <t>https://bulbapedia.bulbagarden.net/wiki/Azumarill_(TCG)</t>
        </is>
      </c>
    </row>
    <row r="212">
      <c r="A212" t="n">
        <v>211</v>
      </c>
      <c r="B212" t="inlineStr">
        <is>
          <t>Azumarill</t>
        </is>
      </c>
      <c r="C212" t="inlineStr">
        <is>
          <t>Azumarill</t>
        </is>
      </c>
      <c r="D212" t="inlineStr">
        <is>
          <t>English</t>
        </is>
      </c>
      <c r="E212" t="inlineStr">
        <is>
          <t>International</t>
        </is>
      </c>
      <c r="F212" t="inlineStr">
        <is>
          <t>Lost Thunder</t>
        </is>
      </c>
      <c r="G212" t="inlineStr">
        <is>
          <t>136/214</t>
        </is>
      </c>
      <c r="H212" t="inlineStr">
        <is>
          <t>Standard</t>
        </is>
      </c>
      <c r="K212" t="inlineStr">
        <is>
          <t>Out of print</t>
        </is>
      </c>
      <c r="L212" t="inlineStr">
        <is>
          <t>Buy the single. Start with TCGplayer/eBay or a local card show; bundle cheap cards from one seller.</t>
        </is>
      </c>
      <c r="M212" t="inlineStr">
        <is>
          <t>Azumarill 136/214 Lost Thunder English Standard</t>
        </is>
      </c>
      <c r="N212" t="inlineStr">
        <is>
          <t>Easy</t>
        </is>
      </c>
      <c r="O212" t="inlineStr">
        <is>
          <t>NEED</t>
        </is>
      </c>
      <c r="P212" t="n">
        <v>0</v>
      </c>
      <c r="R212" t="inlineStr">
        <is>
          <t>add official reverse/holo counterpart if issued; add official reverse/holo counterpart if issued; add official reverse/holo counterpart if issued; StableKey=AZF-211</t>
        </is>
      </c>
      <c r="S212" t="inlineStr">
        <is>
          <t>https://bulbapedia.bulbagarden.net/wiki/Azumarill_(TCG)</t>
        </is>
      </c>
    </row>
    <row r="213">
      <c r="A213" t="n">
        <v>212</v>
      </c>
      <c r="B213" t="inlineStr">
        <is>
          <t>Azumarill</t>
        </is>
      </c>
      <c r="C213" t="inlineStr">
        <is>
          <t>Azumarill</t>
        </is>
      </c>
      <c r="D213" t="inlineStr">
        <is>
          <t>English</t>
        </is>
      </c>
      <c r="E213" t="inlineStr">
        <is>
          <t>International</t>
        </is>
      </c>
      <c r="F213" t="inlineStr">
        <is>
          <t>Lost Thunder</t>
        </is>
      </c>
      <c r="G213" t="inlineStr">
        <is>
          <t>136/214</t>
        </is>
      </c>
      <c r="H213" t="inlineStr">
        <is>
          <t>Reverse Holo</t>
        </is>
      </c>
      <c r="I213" t="inlineStr">
        <is>
          <t>Reverse Holo</t>
        </is>
      </c>
      <c r="K213" t="inlineStr">
        <is>
          <t>Out of print</t>
        </is>
      </c>
      <c r="L213" t="inlineStr">
        <is>
          <t>Buy the single. Start with TCGplayer/eBay or a local card show; bundle cheap cards from one seller.</t>
        </is>
      </c>
      <c r="M213" t="inlineStr">
        <is>
          <t>Azumarill 136/214 Lost Thunder English Reverse Holo</t>
        </is>
      </c>
      <c r="N213" t="inlineStr">
        <is>
          <t>Easy</t>
        </is>
      </c>
      <c r="O213" t="inlineStr">
        <is>
          <t>NEED</t>
        </is>
      </c>
      <c r="P213" t="n">
        <v>0</v>
      </c>
      <c r="R213" t="inlineStr">
        <is>
          <t>add official reverse/holo counterpart if issued; add official reverse/holo counterpart if issued; add official reverse/holo counterpart if issued; StableKey=AZF-212</t>
        </is>
      </c>
      <c r="S213" t="inlineStr">
        <is>
          <t>https://bulbapedia.bulbagarden.net/wiki/Azumarill_(TCG)</t>
        </is>
      </c>
    </row>
    <row r="214">
      <c r="A214" t="n">
        <v>213</v>
      </c>
      <c r="B214" t="inlineStr">
        <is>
          <t>Azumarill</t>
        </is>
      </c>
      <c r="C214" t="inlineStr">
        <is>
          <t>Azumarill</t>
        </is>
      </c>
      <c r="D214" t="inlineStr">
        <is>
          <t>Spanish</t>
        </is>
      </c>
      <c r="E214" t="inlineStr">
        <is>
          <t>International</t>
        </is>
      </c>
      <c r="F214" t="inlineStr">
        <is>
          <t>Lost Thunder</t>
        </is>
      </c>
      <c r="G214" t="inlineStr">
        <is>
          <t>136/214</t>
        </is>
      </c>
      <c r="H214" t="inlineStr">
        <is>
          <t>Standard</t>
        </is>
      </c>
      <c r="K214" t="inlineStr">
        <is>
          <t>Out of print</t>
        </is>
      </c>
      <c r="L214" t="inlineStr">
        <is>
          <t>Buy the Spanish single. Cardmarket/eBay are usually best; filter Language = Spanish and bundle orders.</t>
        </is>
      </c>
      <c r="M214" t="inlineStr">
        <is>
          <t>Azumarill 136/214 Lost Thunder Spanish Standard</t>
        </is>
      </c>
      <c r="N214" t="inlineStr">
        <is>
          <t>Medium</t>
        </is>
      </c>
      <c r="O214" t="inlineStr">
        <is>
          <t>NEED</t>
        </is>
      </c>
      <c r="P214" t="n">
        <v>0</v>
      </c>
      <c r="R214" t="inlineStr">
        <is>
          <t>add official reverse/holo counterpart if issued; add official reverse/holo counterpart if issued; add official reverse/holo counterpart if issued; StableKey=AZF-213</t>
        </is>
      </c>
      <c r="S214" t="inlineStr">
        <is>
          <t>https://bulbapedia.bulbagarden.net/wiki/Azumarill_(TCG)</t>
        </is>
      </c>
    </row>
    <row r="215">
      <c r="A215" t="n">
        <v>214</v>
      </c>
      <c r="B215" t="inlineStr">
        <is>
          <t>Azumarill</t>
        </is>
      </c>
      <c r="C215" t="inlineStr">
        <is>
          <t>Azumarill</t>
        </is>
      </c>
      <c r="D215" t="inlineStr">
        <is>
          <t>Spanish</t>
        </is>
      </c>
      <c r="E215" t="inlineStr">
        <is>
          <t>International</t>
        </is>
      </c>
      <c r="F215" t="inlineStr">
        <is>
          <t>Lost Thunder</t>
        </is>
      </c>
      <c r="G215" t="inlineStr">
        <is>
          <t>136/214</t>
        </is>
      </c>
      <c r="H215" t="inlineStr">
        <is>
          <t>Reverse Holo</t>
        </is>
      </c>
      <c r="I215" t="inlineStr">
        <is>
          <t>Reverse Holo</t>
        </is>
      </c>
      <c r="K215" t="inlineStr">
        <is>
          <t>Out of print</t>
        </is>
      </c>
      <c r="L215" t="inlineStr">
        <is>
          <t>Buy the Spanish single. Cardmarket/eBay are usually best; filter Language = Spanish and bundle orders.</t>
        </is>
      </c>
      <c r="M215" t="inlineStr">
        <is>
          <t>Azumarill 136/214 Lost Thunder Spanish Reverse Holo</t>
        </is>
      </c>
      <c r="N215" t="inlineStr">
        <is>
          <t>Medium</t>
        </is>
      </c>
      <c r="O215" t="inlineStr">
        <is>
          <t>NEED</t>
        </is>
      </c>
      <c r="P215" t="n">
        <v>0</v>
      </c>
      <c r="R215" t="inlineStr">
        <is>
          <t>add official reverse/holo counterpart if issued; add official reverse/holo counterpart if issued; add official reverse/holo counterpart if issued; StableKey=AZF-214</t>
        </is>
      </c>
      <c r="S215" t="inlineStr">
        <is>
          <t>https://bulbapedia.bulbagarden.net/wiki/Azumarill_(TCG)</t>
        </is>
      </c>
    </row>
    <row r="216">
      <c r="A216" t="n">
        <v>215</v>
      </c>
      <c r="B216" t="inlineStr">
        <is>
          <t>Azumarill</t>
        </is>
      </c>
      <c r="C216" t="inlineStr">
        <is>
          <t>Azumarill</t>
        </is>
      </c>
      <c r="D216" t="inlineStr">
        <is>
          <t>Japanese</t>
        </is>
      </c>
      <c r="E216" t="inlineStr">
        <is>
          <t>Japan</t>
        </is>
      </c>
      <c r="F216" t="inlineStr">
        <is>
          <t>Super-Burst Impact</t>
        </is>
      </c>
      <c r="G216" t="inlineStr">
        <is>
          <t>063/095</t>
        </is>
      </c>
      <c r="H216" t="inlineStr">
        <is>
          <t>Standard</t>
        </is>
      </c>
      <c r="K216" t="inlineStr">
        <is>
          <t>Out of print</t>
        </is>
      </c>
      <c r="L216" t="inlineStr">
        <is>
          <t>Buy the Japanese single. Use eBay/Cardmarket or Mercari/Yahoo Japan through a proxy; bundle proxy orders.</t>
        </is>
      </c>
      <c r="M216" t="inlineStr">
        <is>
          <t>Azumarill 063/095 Super-Burst Impact Japanese Standard</t>
        </is>
      </c>
      <c r="N216" t="inlineStr">
        <is>
          <t>Medium</t>
        </is>
      </c>
      <c r="O216" t="inlineStr">
        <is>
          <t>NEED</t>
        </is>
      </c>
      <c r="P216" t="n">
        <v>0</v>
      </c>
      <c r="R216" t="inlineStr">
        <is>
          <t>StableKey=AZF-215</t>
        </is>
      </c>
      <c r="S216" t="inlineStr">
        <is>
          <t>https://bulbapedia.bulbagarden.net/wiki/Azumarill_(TCG)</t>
        </is>
      </c>
    </row>
    <row r="217">
      <c r="A217" t="n">
        <v>216</v>
      </c>
      <c r="B217" t="inlineStr">
        <is>
          <t>Azumarill</t>
        </is>
      </c>
      <c r="C217" t="inlineStr">
        <is>
          <t>Azumarill</t>
        </is>
      </c>
      <c r="D217" t="inlineStr">
        <is>
          <t>English</t>
        </is>
      </c>
      <c r="E217" t="inlineStr">
        <is>
          <t>International</t>
        </is>
      </c>
      <c r="F217" t="inlineStr">
        <is>
          <t>Fusion Strike</t>
        </is>
      </c>
      <c r="G217" t="inlineStr">
        <is>
          <t>059/264</t>
        </is>
      </c>
      <c r="H217" t="inlineStr">
        <is>
          <t>Standard</t>
        </is>
      </c>
      <c r="K217" t="inlineStr">
        <is>
          <t>Out of print</t>
        </is>
      </c>
      <c r="L217" t="inlineStr">
        <is>
          <t>Buy the single. Start with TCGplayer/eBay or a local card show; bundle cheap cards from one seller.</t>
        </is>
      </c>
      <c r="M217" t="inlineStr">
        <is>
          <t>Azumarill 059/264 Fusion Strike English Standard</t>
        </is>
      </c>
      <c r="N217" t="inlineStr">
        <is>
          <t>Easy</t>
        </is>
      </c>
      <c r="O217" t="inlineStr">
        <is>
          <t>NEED</t>
        </is>
      </c>
      <c r="P217" t="n">
        <v>0</v>
      </c>
      <c r="R217" t="inlineStr">
        <is>
          <t>add official reverse/holo counterpart if issued; add official reverse/holo counterpart if issued; add official reverse/holo counterpart if issued; StableKey=AZF-216</t>
        </is>
      </c>
      <c r="S217" t="inlineStr">
        <is>
          <t>https://bulbapedia.bulbagarden.net/wiki/Azumarill_(TCG)</t>
        </is>
      </c>
    </row>
    <row r="218">
      <c r="A218" t="n">
        <v>217</v>
      </c>
      <c r="B218" t="inlineStr">
        <is>
          <t>Azumarill</t>
        </is>
      </c>
      <c r="C218" t="inlineStr">
        <is>
          <t>Azumarill</t>
        </is>
      </c>
      <c r="D218" t="inlineStr">
        <is>
          <t>English</t>
        </is>
      </c>
      <c r="E218" t="inlineStr">
        <is>
          <t>International</t>
        </is>
      </c>
      <c r="F218" t="inlineStr">
        <is>
          <t>Fusion Strike</t>
        </is>
      </c>
      <c r="G218" t="inlineStr">
        <is>
          <t>059/264</t>
        </is>
      </c>
      <c r="H218" t="inlineStr">
        <is>
          <t>Reverse Holo</t>
        </is>
      </c>
      <c r="I218" t="inlineStr">
        <is>
          <t>Reverse Holo</t>
        </is>
      </c>
      <c r="K218" t="inlineStr">
        <is>
          <t>Out of print</t>
        </is>
      </c>
      <c r="L218" t="inlineStr">
        <is>
          <t>Buy the single. Start with TCGplayer/eBay or a local card show; bundle cheap cards from one seller.</t>
        </is>
      </c>
      <c r="M218" t="inlineStr">
        <is>
          <t>Azumarill 059/264 Fusion Strike English Reverse Holo</t>
        </is>
      </c>
      <c r="N218" t="inlineStr">
        <is>
          <t>Easy</t>
        </is>
      </c>
      <c r="O218" t="inlineStr">
        <is>
          <t>NEED</t>
        </is>
      </c>
      <c r="P218" t="n">
        <v>0</v>
      </c>
      <c r="R218" t="inlineStr">
        <is>
          <t>add official reverse/holo counterpart if issued; add official reverse/holo counterpart if issued; add official reverse/holo counterpart if issued; StableKey=AZF-217</t>
        </is>
      </c>
      <c r="S218" t="inlineStr">
        <is>
          <t>https://bulbapedia.bulbagarden.net/wiki/Azumarill_(TCG)</t>
        </is>
      </c>
    </row>
    <row r="219">
      <c r="A219" t="n">
        <v>218</v>
      </c>
      <c r="B219" t="inlineStr">
        <is>
          <t>Azumarill</t>
        </is>
      </c>
      <c r="C219" t="inlineStr">
        <is>
          <t>Azumarill</t>
        </is>
      </c>
      <c r="D219" t="inlineStr">
        <is>
          <t>Spanish</t>
        </is>
      </c>
      <c r="E219" t="inlineStr">
        <is>
          <t>International</t>
        </is>
      </c>
      <c r="F219" t="inlineStr">
        <is>
          <t>Fusion Strike</t>
        </is>
      </c>
      <c r="G219" t="inlineStr">
        <is>
          <t>059/264</t>
        </is>
      </c>
      <c r="H219" t="inlineStr">
        <is>
          <t>Standard</t>
        </is>
      </c>
      <c r="K219" t="inlineStr">
        <is>
          <t>Out of print</t>
        </is>
      </c>
      <c r="L219" t="inlineStr">
        <is>
          <t>Buy the Spanish single. Cardmarket/eBay are usually best; filter Language = Spanish and bundle orders.</t>
        </is>
      </c>
      <c r="M219" t="inlineStr">
        <is>
          <t>Azumarill 059/264 Fusion Strike Spanish Standard</t>
        </is>
      </c>
      <c r="N219" t="inlineStr">
        <is>
          <t>Medium</t>
        </is>
      </c>
      <c r="O219" t="inlineStr">
        <is>
          <t>NEED</t>
        </is>
      </c>
      <c r="P219" t="n">
        <v>0</v>
      </c>
      <c r="R219" t="inlineStr">
        <is>
          <t>add official reverse/holo counterpart if issued; add official reverse/holo counterpart if issued; add official reverse/holo counterpart if issued; StableKey=AZF-218</t>
        </is>
      </c>
      <c r="S219" t="inlineStr">
        <is>
          <t>https://bulbapedia.bulbagarden.net/wiki/Azumarill_(TCG)</t>
        </is>
      </c>
    </row>
    <row r="220">
      <c r="A220" t="n">
        <v>219</v>
      </c>
      <c r="B220" t="inlineStr">
        <is>
          <t>Azumarill</t>
        </is>
      </c>
      <c r="C220" t="inlineStr">
        <is>
          <t>Azumarill</t>
        </is>
      </c>
      <c r="D220" t="inlineStr">
        <is>
          <t>Spanish</t>
        </is>
      </c>
      <c r="E220" t="inlineStr">
        <is>
          <t>International</t>
        </is>
      </c>
      <c r="F220" t="inlineStr">
        <is>
          <t>Fusion Strike</t>
        </is>
      </c>
      <c r="G220" t="inlineStr">
        <is>
          <t>059/264</t>
        </is>
      </c>
      <c r="H220" t="inlineStr">
        <is>
          <t>Reverse Holo</t>
        </is>
      </c>
      <c r="I220" t="inlineStr">
        <is>
          <t>Reverse Holo</t>
        </is>
      </c>
      <c r="K220" t="inlineStr">
        <is>
          <t>Out of print</t>
        </is>
      </c>
      <c r="L220" t="inlineStr">
        <is>
          <t>Buy the Spanish single. Cardmarket/eBay are usually best; filter Language = Spanish and bundle orders.</t>
        </is>
      </c>
      <c r="M220" t="inlineStr">
        <is>
          <t>Azumarill 059/264 Fusion Strike Spanish Reverse Holo</t>
        </is>
      </c>
      <c r="N220" t="inlineStr">
        <is>
          <t>Medium</t>
        </is>
      </c>
      <c r="O220" t="inlineStr">
        <is>
          <t>NEED</t>
        </is>
      </c>
      <c r="P220" t="n">
        <v>0</v>
      </c>
      <c r="R220" t="inlineStr">
        <is>
          <t>add official reverse/holo counterpart if issued; add official reverse/holo counterpart if issued; add official reverse/holo counterpart if issued; StableKey=AZF-219</t>
        </is>
      </c>
      <c r="S220" t="inlineStr">
        <is>
          <t>https://bulbapedia.bulbagarden.net/wiki/Azumarill_(TCG)</t>
        </is>
      </c>
    </row>
    <row r="221">
      <c r="A221" t="n">
        <v>220</v>
      </c>
      <c r="B221" t="inlineStr">
        <is>
          <t>Azumarill</t>
        </is>
      </c>
      <c r="C221" t="inlineStr">
        <is>
          <t>Azumarill</t>
        </is>
      </c>
      <c r="D221" t="inlineStr">
        <is>
          <t>Japanese</t>
        </is>
      </c>
      <c r="E221" t="inlineStr">
        <is>
          <t>Japan</t>
        </is>
      </c>
      <c r="F221" t="inlineStr">
        <is>
          <t>Eevee Heroes</t>
        </is>
      </c>
      <c r="G221" t="inlineStr">
        <is>
          <t>017/069</t>
        </is>
      </c>
      <c r="H221" t="inlineStr">
        <is>
          <t>Standard</t>
        </is>
      </c>
      <c r="K221" t="inlineStr">
        <is>
          <t>Out of print</t>
        </is>
      </c>
      <c r="L221" t="inlineStr">
        <is>
          <t>Buy the Japanese single. Use eBay/Cardmarket or Mercari/Yahoo Japan through a proxy; bundle proxy orders.</t>
        </is>
      </c>
      <c r="M221" t="inlineStr">
        <is>
          <t>Azumarill 017/069 Eevee Heroes Japanese Standard</t>
        </is>
      </c>
      <c r="N221" t="inlineStr">
        <is>
          <t>Medium</t>
        </is>
      </c>
      <c r="O221" t="inlineStr">
        <is>
          <t>NEED</t>
        </is>
      </c>
      <c r="P221" t="n">
        <v>0</v>
      </c>
      <c r="R221" t="inlineStr">
        <is>
          <t>StableKey=AZF-220</t>
        </is>
      </c>
      <c r="S221" t="inlineStr">
        <is>
          <t>https://bulbapedia.bulbagarden.net/wiki/Azumarill_(TCG)</t>
        </is>
      </c>
    </row>
    <row r="222">
      <c r="A222" t="n">
        <v>221</v>
      </c>
      <c r="B222" t="inlineStr">
        <is>
          <t>Azumarill</t>
        </is>
      </c>
      <c r="C222" t="inlineStr">
        <is>
          <t>Azumarill</t>
        </is>
      </c>
      <c r="D222" t="inlineStr">
        <is>
          <t>English</t>
        </is>
      </c>
      <c r="E222" t="inlineStr">
        <is>
          <t>International</t>
        </is>
      </c>
      <c r="F222" t="inlineStr">
        <is>
          <t>Paldea Evolved</t>
        </is>
      </c>
      <c r="G222" t="inlineStr">
        <is>
          <t>045/193</t>
        </is>
      </c>
      <c r="H222" t="inlineStr">
        <is>
          <t>Standard</t>
        </is>
      </c>
      <c r="K222" t="inlineStr">
        <is>
          <t>Out of print</t>
        </is>
      </c>
      <c r="L222" t="inlineStr">
        <is>
          <t>Buy the single. Start with TCGplayer/eBay or a local card show; bundle cheap cards from one seller.</t>
        </is>
      </c>
      <c r="M222" t="inlineStr">
        <is>
          <t>Azumarill 045/193 Paldea Evolved English Standard</t>
        </is>
      </c>
      <c r="N222" t="inlineStr">
        <is>
          <t>Easy</t>
        </is>
      </c>
      <c r="O222" t="inlineStr">
        <is>
          <t>NEED</t>
        </is>
      </c>
      <c r="P222" t="n">
        <v>0</v>
      </c>
      <c r="R222" t="inlineStr">
        <is>
          <t>add official reverse/holo counterpart if issued; add official reverse/holo counterpart if issued; add official reverse/holo counterpart if issued; StableKey=AZF-221</t>
        </is>
      </c>
      <c r="S222" t="inlineStr">
        <is>
          <t>https://bulbapedia.bulbagarden.net/wiki/Azumarill_(TCG)</t>
        </is>
      </c>
    </row>
    <row r="223">
      <c r="A223" t="n">
        <v>222</v>
      </c>
      <c r="B223" t="inlineStr">
        <is>
          <t>Azumarill</t>
        </is>
      </c>
      <c r="C223" t="inlineStr">
        <is>
          <t>Azumarill</t>
        </is>
      </c>
      <c r="D223" t="inlineStr">
        <is>
          <t>English</t>
        </is>
      </c>
      <c r="E223" t="inlineStr">
        <is>
          <t>International</t>
        </is>
      </c>
      <c r="F223" t="inlineStr">
        <is>
          <t>Paldea Evolved</t>
        </is>
      </c>
      <c r="G223" t="inlineStr">
        <is>
          <t>045/193</t>
        </is>
      </c>
      <c r="H223" t="inlineStr">
        <is>
          <t>Reverse Holo</t>
        </is>
      </c>
      <c r="I223" t="inlineStr">
        <is>
          <t>Reverse Holo</t>
        </is>
      </c>
      <c r="K223" t="inlineStr">
        <is>
          <t>Out of print</t>
        </is>
      </c>
      <c r="L223" t="inlineStr">
        <is>
          <t>Buy the single. Start with TCGplayer/eBay or a local card show; bundle cheap cards from one seller.</t>
        </is>
      </c>
      <c r="M223" t="inlineStr">
        <is>
          <t>Azumarill 045/193 Paldea Evolved English Reverse Holo</t>
        </is>
      </c>
      <c r="N223" t="inlineStr">
        <is>
          <t>Easy</t>
        </is>
      </c>
      <c r="O223" t="inlineStr">
        <is>
          <t>NEED</t>
        </is>
      </c>
      <c r="P223" t="n">
        <v>0</v>
      </c>
      <c r="R223" t="inlineStr">
        <is>
          <t>add official reverse/holo counterpart if issued; add official reverse/holo counterpart if issued; add official reverse/holo counterpart if issued; StableKey=AZF-222</t>
        </is>
      </c>
      <c r="S223" t="inlineStr">
        <is>
          <t>https://bulbapedia.bulbagarden.net/wiki/Azumarill_(TCG)</t>
        </is>
      </c>
    </row>
    <row r="224">
      <c r="A224" t="n">
        <v>223</v>
      </c>
      <c r="B224" t="inlineStr">
        <is>
          <t>Azumarill</t>
        </is>
      </c>
      <c r="C224" t="inlineStr">
        <is>
          <t>Azumarill</t>
        </is>
      </c>
      <c r="D224" t="inlineStr">
        <is>
          <t>Spanish</t>
        </is>
      </c>
      <c r="E224" t="inlineStr">
        <is>
          <t>International</t>
        </is>
      </c>
      <c r="F224" t="inlineStr">
        <is>
          <t>Paldea Evolved</t>
        </is>
      </c>
      <c r="G224" t="inlineStr">
        <is>
          <t>045/193</t>
        </is>
      </c>
      <c r="H224" t="inlineStr">
        <is>
          <t>Standard</t>
        </is>
      </c>
      <c r="K224" t="inlineStr">
        <is>
          <t>Out of print</t>
        </is>
      </c>
      <c r="L224" t="inlineStr">
        <is>
          <t>Buy the Spanish single. Cardmarket/eBay are usually best; filter Language = Spanish and bundle orders.</t>
        </is>
      </c>
      <c r="M224" t="inlineStr">
        <is>
          <t>Azumarill 045/193 Paldea Evolved Spanish Standard</t>
        </is>
      </c>
      <c r="N224" t="inlineStr">
        <is>
          <t>Medium</t>
        </is>
      </c>
      <c r="O224" t="inlineStr">
        <is>
          <t>NEED</t>
        </is>
      </c>
      <c r="P224" t="n">
        <v>0</v>
      </c>
      <c r="R224" t="inlineStr">
        <is>
          <t>add official reverse/holo counterpart if issued; add official reverse/holo counterpart if issued; add official reverse/holo counterpart if issued; StableKey=AZF-223</t>
        </is>
      </c>
      <c r="S224" t="inlineStr">
        <is>
          <t>https://bulbapedia.bulbagarden.net/wiki/Azumarill_(TCG)</t>
        </is>
      </c>
    </row>
    <row r="225">
      <c r="A225" t="n">
        <v>224</v>
      </c>
      <c r="B225" t="inlineStr">
        <is>
          <t>Azumarill</t>
        </is>
      </c>
      <c r="C225" t="inlineStr">
        <is>
          <t>Azumarill</t>
        </is>
      </c>
      <c r="D225" t="inlineStr">
        <is>
          <t>Spanish</t>
        </is>
      </c>
      <c r="E225" t="inlineStr">
        <is>
          <t>International</t>
        </is>
      </c>
      <c r="F225" t="inlineStr">
        <is>
          <t>Paldea Evolved</t>
        </is>
      </c>
      <c r="G225" t="inlineStr">
        <is>
          <t>045/193</t>
        </is>
      </c>
      <c r="H225" t="inlineStr">
        <is>
          <t>Reverse Holo</t>
        </is>
      </c>
      <c r="I225" t="inlineStr">
        <is>
          <t>Reverse Holo</t>
        </is>
      </c>
      <c r="K225" t="inlineStr">
        <is>
          <t>Out of print</t>
        </is>
      </c>
      <c r="L225" t="inlineStr">
        <is>
          <t>Buy the Spanish single. Cardmarket/eBay are usually best; filter Language = Spanish and bundle orders.</t>
        </is>
      </c>
      <c r="M225" t="inlineStr">
        <is>
          <t>Azumarill 045/193 Paldea Evolved Spanish Reverse Holo</t>
        </is>
      </c>
      <c r="N225" t="inlineStr">
        <is>
          <t>Medium</t>
        </is>
      </c>
      <c r="O225" t="inlineStr">
        <is>
          <t>NEED</t>
        </is>
      </c>
      <c r="P225" t="n">
        <v>0</v>
      </c>
      <c r="R225" t="inlineStr">
        <is>
          <t>add official reverse/holo counterpart if issued; add official reverse/holo counterpart if issued; add official reverse/holo counterpart if issued; StableKey=AZF-224</t>
        </is>
      </c>
      <c r="S225" t="inlineStr">
        <is>
          <t>https://bulbapedia.bulbagarden.net/wiki/Azumarill_(TCG)</t>
        </is>
      </c>
    </row>
    <row r="226">
      <c r="A226" t="n">
        <v>225</v>
      </c>
      <c r="B226" t="inlineStr">
        <is>
          <t>Azumarill</t>
        </is>
      </c>
      <c r="C226" t="inlineStr">
        <is>
          <t>Azumarill</t>
        </is>
      </c>
      <c r="D226" t="inlineStr">
        <is>
          <t>Japanese</t>
        </is>
      </c>
      <c r="E226" t="inlineStr">
        <is>
          <t>Japan</t>
        </is>
      </c>
      <c r="F226" t="inlineStr">
        <is>
          <t>Snow Hazard</t>
        </is>
      </c>
      <c r="G226" t="inlineStr">
        <is>
          <t>017/071</t>
        </is>
      </c>
      <c r="H226" t="inlineStr">
        <is>
          <t>Standard</t>
        </is>
      </c>
      <c r="K226" t="inlineStr">
        <is>
          <t>Out of print</t>
        </is>
      </c>
      <c r="L226" t="inlineStr">
        <is>
          <t>Buy the Japanese single. Use eBay/Cardmarket or Mercari/Yahoo Japan through a proxy; bundle proxy orders.</t>
        </is>
      </c>
      <c r="M226" t="inlineStr">
        <is>
          <t>Azumarill 017/071 Snow Hazard Japanese Standard</t>
        </is>
      </c>
      <c r="N226" t="inlineStr">
        <is>
          <t>Medium</t>
        </is>
      </c>
      <c r="O226" t="inlineStr">
        <is>
          <t>NEED</t>
        </is>
      </c>
      <c r="P226" t="n">
        <v>0</v>
      </c>
      <c r="R226" t="inlineStr">
        <is>
          <t>StableKey=AZF-225</t>
        </is>
      </c>
      <c r="S226" t="inlineStr">
        <is>
          <t>https://bulbapedia.bulbagarden.net/wiki/Azumarill_(TCG)</t>
        </is>
      </c>
    </row>
    <row r="227">
      <c r="A227" t="n">
        <v>226</v>
      </c>
      <c r="B227" t="inlineStr">
        <is>
          <t>Azumarill</t>
        </is>
      </c>
      <c r="C227" t="inlineStr">
        <is>
          <t>Azumarill</t>
        </is>
      </c>
      <c r="D227" t="inlineStr">
        <is>
          <t>English</t>
        </is>
      </c>
      <c r="E227" t="inlineStr">
        <is>
          <t>International</t>
        </is>
      </c>
      <c r="F227" t="inlineStr">
        <is>
          <t>Temporal Forces</t>
        </is>
      </c>
      <c r="G227" t="inlineStr">
        <is>
          <t>065/162</t>
        </is>
      </c>
      <c r="H227" t="inlineStr">
        <is>
          <t>Standard</t>
        </is>
      </c>
      <c r="K227" t="inlineStr">
        <is>
          <t>Out of print</t>
        </is>
      </c>
      <c r="L227" t="inlineStr">
        <is>
          <t>Buy the single. Start with TCGplayer/eBay or a local card show; bundle cheap cards from one seller.</t>
        </is>
      </c>
      <c r="M227" t="inlineStr">
        <is>
          <t>Azumarill 065/162 Temporal Forces English Standard</t>
        </is>
      </c>
      <c r="N227" t="inlineStr">
        <is>
          <t>Easy</t>
        </is>
      </c>
      <c r="O227" t="inlineStr">
        <is>
          <t>NEED</t>
        </is>
      </c>
      <c r="P227" t="n">
        <v>0</v>
      </c>
      <c r="R227" t="inlineStr">
        <is>
          <t>add official reverse/holo counterpart if issued; add official reverse/holo counterpart if issued; add official reverse/holo counterpart if issued; StableKey=AZF-226</t>
        </is>
      </c>
      <c r="S227" t="inlineStr">
        <is>
          <t>https://bulbapedia.bulbagarden.net/wiki/Azumarill_(TCG)</t>
        </is>
      </c>
    </row>
    <row r="228">
      <c r="A228" t="n">
        <v>227</v>
      </c>
      <c r="B228" t="inlineStr">
        <is>
          <t>Azumarill</t>
        </is>
      </c>
      <c r="C228" t="inlineStr">
        <is>
          <t>Azumarill</t>
        </is>
      </c>
      <c r="D228" t="inlineStr">
        <is>
          <t>English</t>
        </is>
      </c>
      <c r="E228" t="inlineStr">
        <is>
          <t>International</t>
        </is>
      </c>
      <c r="F228" t="inlineStr">
        <is>
          <t>Temporal Forces</t>
        </is>
      </c>
      <c r="G228" t="inlineStr">
        <is>
          <t>065/162</t>
        </is>
      </c>
      <c r="H228" t="inlineStr">
        <is>
          <t>Reverse Holo</t>
        </is>
      </c>
      <c r="I228" t="inlineStr">
        <is>
          <t>Reverse Holo</t>
        </is>
      </c>
      <c r="K228" t="inlineStr">
        <is>
          <t>Out of print</t>
        </is>
      </c>
      <c r="L228" t="inlineStr">
        <is>
          <t>Buy the single. Start with TCGplayer/eBay or a local card show; bundle cheap cards from one seller.</t>
        </is>
      </c>
      <c r="M228" t="inlineStr">
        <is>
          <t>Azumarill 065/162 Temporal Forces English Reverse Holo</t>
        </is>
      </c>
      <c r="N228" t="inlineStr">
        <is>
          <t>Easy</t>
        </is>
      </c>
      <c r="O228" t="inlineStr">
        <is>
          <t>NEED</t>
        </is>
      </c>
      <c r="P228" t="n">
        <v>0</v>
      </c>
      <c r="R228" t="inlineStr">
        <is>
          <t>add official reverse/holo counterpart if issued; add official reverse/holo counterpart if issued; add official reverse/holo counterpart if issued; StableKey=AZF-227</t>
        </is>
      </c>
      <c r="S228" t="inlineStr">
        <is>
          <t>https://bulbapedia.bulbagarden.net/wiki/Azumarill_(TCG)</t>
        </is>
      </c>
    </row>
    <row r="229">
      <c r="A229" t="n">
        <v>228</v>
      </c>
      <c r="B229" t="inlineStr">
        <is>
          <t>Azumarill</t>
        </is>
      </c>
      <c r="C229" t="inlineStr">
        <is>
          <t>Azumarill</t>
        </is>
      </c>
      <c r="D229" t="inlineStr">
        <is>
          <t>Spanish</t>
        </is>
      </c>
      <c r="E229" t="inlineStr">
        <is>
          <t>International</t>
        </is>
      </c>
      <c r="F229" t="inlineStr">
        <is>
          <t>Temporal Forces</t>
        </is>
      </c>
      <c r="G229" t="inlineStr">
        <is>
          <t>065/162</t>
        </is>
      </c>
      <c r="H229" t="inlineStr">
        <is>
          <t>Standard</t>
        </is>
      </c>
      <c r="K229" t="inlineStr">
        <is>
          <t>Out of print</t>
        </is>
      </c>
      <c r="L229" t="inlineStr">
        <is>
          <t>Buy the Spanish single. Cardmarket/eBay are usually best; filter Language = Spanish and bundle orders.</t>
        </is>
      </c>
      <c r="M229" t="inlineStr">
        <is>
          <t>Azumarill 065/162 Temporal Forces Spanish Standard</t>
        </is>
      </c>
      <c r="N229" t="inlineStr">
        <is>
          <t>Medium</t>
        </is>
      </c>
      <c r="O229" t="inlineStr">
        <is>
          <t>NEED</t>
        </is>
      </c>
      <c r="P229" t="n">
        <v>0</v>
      </c>
      <c r="R229" t="inlineStr">
        <is>
          <t>add official reverse/holo counterpart if issued; add official reverse/holo counterpart if issued; add official reverse/holo counterpart if issued; StableKey=AZF-228</t>
        </is>
      </c>
      <c r="S229" t="inlineStr">
        <is>
          <t>https://bulbapedia.bulbagarden.net/wiki/Azumarill_(TCG)</t>
        </is>
      </c>
    </row>
    <row r="230">
      <c r="A230" t="n">
        <v>229</v>
      </c>
      <c r="B230" t="inlineStr">
        <is>
          <t>Azumarill</t>
        </is>
      </c>
      <c r="C230" t="inlineStr">
        <is>
          <t>Azumarill</t>
        </is>
      </c>
      <c r="D230" t="inlineStr">
        <is>
          <t>Spanish</t>
        </is>
      </c>
      <c r="E230" t="inlineStr">
        <is>
          <t>International</t>
        </is>
      </c>
      <c r="F230" t="inlineStr">
        <is>
          <t>Temporal Forces</t>
        </is>
      </c>
      <c r="G230" t="inlineStr">
        <is>
          <t>065/162</t>
        </is>
      </c>
      <c r="H230" t="inlineStr">
        <is>
          <t>Reverse Holo</t>
        </is>
      </c>
      <c r="I230" t="inlineStr">
        <is>
          <t>Reverse Holo</t>
        </is>
      </c>
      <c r="K230" t="inlineStr">
        <is>
          <t>Out of print</t>
        </is>
      </c>
      <c r="L230" t="inlineStr">
        <is>
          <t>Buy the Spanish single. Cardmarket/eBay are usually best; filter Language = Spanish and bundle orders.</t>
        </is>
      </c>
      <c r="M230" t="inlineStr">
        <is>
          <t>Azumarill 065/162 Temporal Forces Spanish Reverse Holo</t>
        </is>
      </c>
      <c r="N230" t="inlineStr">
        <is>
          <t>Medium</t>
        </is>
      </c>
      <c r="O230" t="inlineStr">
        <is>
          <t>NEED</t>
        </is>
      </c>
      <c r="P230" t="n">
        <v>0</v>
      </c>
      <c r="R230" t="inlineStr">
        <is>
          <t>add official reverse/holo counterpart if issued; add official reverse/holo counterpart if issued; add official reverse/holo counterpart if issued; StableKey=AZF-229</t>
        </is>
      </c>
      <c r="S230" t="inlineStr">
        <is>
          <t>https://bulbapedia.bulbagarden.net/wiki/Azumarill_(TCG)</t>
        </is>
      </c>
    </row>
    <row r="231">
      <c r="A231" t="n">
        <v>230</v>
      </c>
      <c r="B231" t="inlineStr">
        <is>
          <t>Azumarill</t>
        </is>
      </c>
      <c r="C231" t="inlineStr">
        <is>
          <t>Azumarill</t>
        </is>
      </c>
      <c r="D231" t="inlineStr">
        <is>
          <t>Japanese</t>
        </is>
      </c>
      <c r="E231" t="inlineStr">
        <is>
          <t>Japan</t>
        </is>
      </c>
      <c r="F231" t="inlineStr">
        <is>
          <t>Wild Force</t>
        </is>
      </c>
      <c r="G231" t="inlineStr">
        <is>
          <t>027/071</t>
        </is>
      </c>
      <c r="H231" t="inlineStr">
        <is>
          <t>Standard</t>
        </is>
      </c>
      <c r="K231" t="inlineStr">
        <is>
          <t>Out of print</t>
        </is>
      </c>
      <c r="L231" t="inlineStr">
        <is>
          <t>Buy the Japanese single. Use eBay/Cardmarket or Mercari/Yahoo Japan through a proxy; bundle proxy orders.</t>
        </is>
      </c>
      <c r="M231" t="inlineStr">
        <is>
          <t>Azumarill 027/071 Wild Force Japanese Standard</t>
        </is>
      </c>
      <c r="N231" t="inlineStr">
        <is>
          <t>Medium</t>
        </is>
      </c>
      <c r="O231" t="inlineStr">
        <is>
          <t>NEED</t>
        </is>
      </c>
      <c r="P231" t="n">
        <v>0</v>
      </c>
      <c r="R231" t="inlineStr">
        <is>
          <t>StableKey=AZF-230</t>
        </is>
      </c>
      <c r="S231" t="inlineStr">
        <is>
          <t>https://bulbapedia.bulbagarden.net/wiki/Azumarill_(TCG)</t>
        </is>
      </c>
    </row>
    <row r="232">
      <c r="A232" t="n">
        <v>231</v>
      </c>
      <c r="B232" t="inlineStr">
        <is>
          <t>Azumarill</t>
        </is>
      </c>
      <c r="C232" t="inlineStr">
        <is>
          <t>Azumarill</t>
        </is>
      </c>
      <c r="D232" t="inlineStr">
        <is>
          <t>English</t>
        </is>
      </c>
      <c r="E232" t="inlineStr">
        <is>
          <t>International</t>
        </is>
      </c>
      <c r="F232" t="inlineStr">
        <is>
          <t>Stellar Crown</t>
        </is>
      </c>
      <c r="G232" t="inlineStr">
        <is>
          <t>034/142</t>
        </is>
      </c>
      <c r="H232" t="inlineStr">
        <is>
          <t>Standard</t>
        </is>
      </c>
      <c r="K232" t="inlineStr">
        <is>
          <t>Out of print</t>
        </is>
      </c>
      <c r="L232" t="inlineStr">
        <is>
          <t>Buy the single. Start with TCGplayer/eBay or a local card show; bundle cheap cards from one seller.</t>
        </is>
      </c>
      <c r="M232" t="inlineStr">
        <is>
          <t>Azumarill 034/142 Stellar Crown English Standard</t>
        </is>
      </c>
      <c r="N232" t="inlineStr">
        <is>
          <t>Easy</t>
        </is>
      </c>
      <c r="O232" t="inlineStr">
        <is>
          <t>NEED</t>
        </is>
      </c>
      <c r="P232" t="n">
        <v>0</v>
      </c>
      <c r="R232" t="inlineStr">
        <is>
          <t>add official reverse/holo counterpart if issued; add official reverse/holo counterpart if issued; add official reverse/holo counterpart if issued; StableKey=AZF-231</t>
        </is>
      </c>
      <c r="S232" t="inlineStr">
        <is>
          <t>https://bulbapedia.bulbagarden.net/wiki/Azumarill_(TCG)</t>
        </is>
      </c>
    </row>
    <row r="233">
      <c r="A233" t="n">
        <v>232</v>
      </c>
      <c r="B233" t="inlineStr">
        <is>
          <t>Azumarill</t>
        </is>
      </c>
      <c r="C233" t="inlineStr">
        <is>
          <t>Azumarill</t>
        </is>
      </c>
      <c r="D233" t="inlineStr">
        <is>
          <t>English</t>
        </is>
      </c>
      <c r="E233" t="inlineStr">
        <is>
          <t>International</t>
        </is>
      </c>
      <c r="F233" t="inlineStr">
        <is>
          <t>Stellar Crown</t>
        </is>
      </c>
      <c r="G233" t="inlineStr">
        <is>
          <t>034/142</t>
        </is>
      </c>
      <c r="H233" t="inlineStr">
        <is>
          <t>Reverse Holo</t>
        </is>
      </c>
      <c r="I233" t="inlineStr">
        <is>
          <t>Reverse Holo</t>
        </is>
      </c>
      <c r="K233" t="inlineStr">
        <is>
          <t>Out of print</t>
        </is>
      </c>
      <c r="L233" t="inlineStr">
        <is>
          <t>Buy the single. Start with TCGplayer/eBay or a local card show; bundle cheap cards from one seller.</t>
        </is>
      </c>
      <c r="M233" t="inlineStr">
        <is>
          <t>Azumarill 034/142 Stellar Crown English Reverse Holo</t>
        </is>
      </c>
      <c r="N233" t="inlineStr">
        <is>
          <t>Easy</t>
        </is>
      </c>
      <c r="O233" t="inlineStr">
        <is>
          <t>NEED</t>
        </is>
      </c>
      <c r="P233" t="n">
        <v>0</v>
      </c>
      <c r="R233" t="inlineStr">
        <is>
          <t>add official reverse/holo counterpart if issued; add official reverse/holo counterpart if issued; add official reverse/holo counterpart if issued; StableKey=AZF-232</t>
        </is>
      </c>
      <c r="S233" t="inlineStr">
        <is>
          <t>https://bulbapedia.bulbagarden.net/wiki/Azumarill_(TCG)</t>
        </is>
      </c>
    </row>
    <row r="234">
      <c r="A234" t="n">
        <v>233</v>
      </c>
      <c r="B234" t="inlineStr">
        <is>
          <t>Azumarill</t>
        </is>
      </c>
      <c r="C234" t="inlineStr">
        <is>
          <t>Azumarill</t>
        </is>
      </c>
      <c r="D234" t="inlineStr">
        <is>
          <t>Spanish</t>
        </is>
      </c>
      <c r="E234" t="inlineStr">
        <is>
          <t>International</t>
        </is>
      </c>
      <c r="F234" t="inlineStr">
        <is>
          <t>Stellar Crown</t>
        </is>
      </c>
      <c r="G234" t="inlineStr">
        <is>
          <t>034/142</t>
        </is>
      </c>
      <c r="H234" t="inlineStr">
        <is>
          <t>Standard</t>
        </is>
      </c>
      <c r="K234" t="inlineStr">
        <is>
          <t>Out of print</t>
        </is>
      </c>
      <c r="L234" t="inlineStr">
        <is>
          <t>Buy the Spanish single. Cardmarket/eBay are usually best; filter Language = Spanish and bundle orders.</t>
        </is>
      </c>
      <c r="M234" t="inlineStr">
        <is>
          <t>Azumarill 034/142 Stellar Crown Spanish Standard</t>
        </is>
      </c>
      <c r="N234" t="inlineStr">
        <is>
          <t>Medium</t>
        </is>
      </c>
      <c r="O234" t="inlineStr">
        <is>
          <t>NEED</t>
        </is>
      </c>
      <c r="P234" t="n">
        <v>0</v>
      </c>
      <c r="R234" t="inlineStr">
        <is>
          <t>add official reverse/holo counterpart if issued; add official reverse/holo counterpart if issued; add official reverse/holo counterpart if issued; StableKey=AZF-233</t>
        </is>
      </c>
      <c r="S234" t="inlineStr">
        <is>
          <t>https://bulbapedia.bulbagarden.net/wiki/Azumarill_(TCG)</t>
        </is>
      </c>
    </row>
    <row r="235">
      <c r="A235" t="n">
        <v>234</v>
      </c>
      <c r="B235" t="inlineStr">
        <is>
          <t>Azumarill</t>
        </is>
      </c>
      <c r="C235" t="inlineStr">
        <is>
          <t>Azumarill</t>
        </is>
      </c>
      <c r="D235" t="inlineStr">
        <is>
          <t>Spanish</t>
        </is>
      </c>
      <c r="E235" t="inlineStr">
        <is>
          <t>International</t>
        </is>
      </c>
      <c r="F235" t="inlineStr">
        <is>
          <t>Stellar Crown</t>
        </is>
      </c>
      <c r="G235" t="inlineStr">
        <is>
          <t>034/142</t>
        </is>
      </c>
      <c r="H235" t="inlineStr">
        <is>
          <t>Reverse Holo</t>
        </is>
      </c>
      <c r="I235" t="inlineStr">
        <is>
          <t>Reverse Holo</t>
        </is>
      </c>
      <c r="K235" t="inlineStr">
        <is>
          <t>Out of print</t>
        </is>
      </c>
      <c r="L235" t="inlineStr">
        <is>
          <t>Buy the Spanish single. Cardmarket/eBay are usually best; filter Language = Spanish and bundle orders.</t>
        </is>
      </c>
      <c r="M235" t="inlineStr">
        <is>
          <t>Azumarill 034/142 Stellar Crown Spanish Reverse Holo</t>
        </is>
      </c>
      <c r="N235" t="inlineStr">
        <is>
          <t>Medium</t>
        </is>
      </c>
      <c r="O235" t="inlineStr">
        <is>
          <t>NEED</t>
        </is>
      </c>
      <c r="P235" t="n">
        <v>0</v>
      </c>
      <c r="R235" t="inlineStr">
        <is>
          <t>add official reverse/holo counterpart if issued; add official reverse/holo counterpart if issued; add official reverse/holo counterpart if issued; StableKey=AZF-234</t>
        </is>
      </c>
      <c r="S235" t="inlineStr">
        <is>
          <t>https://bulbapedia.bulbagarden.net/wiki/Azumarill_(TCG)</t>
        </is>
      </c>
    </row>
    <row r="236">
      <c r="A236" t="n">
        <v>235</v>
      </c>
      <c r="B236" t="inlineStr">
        <is>
          <t>Azumarill</t>
        </is>
      </c>
      <c r="C236" t="inlineStr">
        <is>
          <t>Azumarill</t>
        </is>
      </c>
      <c r="D236" t="inlineStr">
        <is>
          <t>Japanese</t>
        </is>
      </c>
      <c r="E236" t="inlineStr">
        <is>
          <t>Japan</t>
        </is>
      </c>
      <c r="F236" t="inlineStr">
        <is>
          <t>Pokémon Card Game Battle Academy</t>
        </is>
      </c>
      <c r="G236" t="inlineStr">
        <is>
          <t>014/066</t>
        </is>
      </c>
      <c r="H236" t="inlineStr">
        <is>
          <t>Standard</t>
        </is>
      </c>
      <c r="K236" t="inlineStr">
        <is>
          <t>Out of print</t>
        </is>
      </c>
      <c r="L236" t="inlineStr">
        <is>
          <t>Buy the Japanese single. Use eBay/Cardmarket or Mercari/Yahoo Japan through a proxy; bundle proxy orders.</t>
        </is>
      </c>
      <c r="M236" t="inlineStr">
        <is>
          <t>Azumarill 014/066 Pokémon Card Game Battle Academy Japanese Standard</t>
        </is>
      </c>
      <c r="N236" t="inlineStr">
        <is>
          <t>Medium</t>
        </is>
      </c>
      <c r="O236" t="inlineStr">
        <is>
          <t>NEED</t>
        </is>
      </c>
      <c r="P236" t="n">
        <v>0</v>
      </c>
      <c r="R236" t="inlineStr">
        <is>
          <t>StableKey=AZF-235</t>
        </is>
      </c>
      <c r="S236" t="inlineStr">
        <is>
          <t>https://bulbapedia.bulbagarden.net/wiki/Azumarill_(TCG)</t>
        </is>
      </c>
    </row>
    <row r="237">
      <c r="A237" t="n">
        <v>236</v>
      </c>
      <c r="B237" t="inlineStr">
        <is>
          <t>Azumarill</t>
        </is>
      </c>
      <c r="C237" t="inlineStr">
        <is>
          <t>Azumarill</t>
        </is>
      </c>
      <c r="D237" t="inlineStr">
        <is>
          <t>English</t>
        </is>
      </c>
      <c r="E237" t="inlineStr">
        <is>
          <t>International</t>
        </is>
      </c>
      <c r="F237" t="inlineStr">
        <is>
          <t>Surging Sparks</t>
        </is>
      </c>
      <c r="G237" t="inlineStr">
        <is>
          <t>074/191</t>
        </is>
      </c>
      <c r="H237" t="inlineStr">
        <is>
          <t>Standard</t>
        </is>
      </c>
      <c r="K237" t="inlineStr">
        <is>
          <t>Out of print</t>
        </is>
      </c>
      <c r="L237" t="inlineStr">
        <is>
          <t>Buy the single. Start with TCGplayer/eBay or a local card show; bundle cheap cards from one seller.</t>
        </is>
      </c>
      <c r="M237" t="inlineStr">
        <is>
          <t>Azumarill 074/191 Surging Sparks English Standard</t>
        </is>
      </c>
      <c r="N237" t="inlineStr">
        <is>
          <t>Easy</t>
        </is>
      </c>
      <c r="O237" t="inlineStr">
        <is>
          <t>NEED</t>
        </is>
      </c>
      <c r="P237" t="n">
        <v>0</v>
      </c>
      <c r="R237" t="inlineStr">
        <is>
          <t>add official reverse/holo counterpart if issued; add official reverse/holo counterpart if issued; add official reverse/holo counterpart if issued; StableKey=AZF-236</t>
        </is>
      </c>
      <c r="S237" t="inlineStr">
        <is>
          <t>https://bulbapedia.bulbagarden.net/wiki/Azumarill_(TCG)</t>
        </is>
      </c>
    </row>
    <row r="238">
      <c r="A238" t="n">
        <v>237</v>
      </c>
      <c r="B238" t="inlineStr">
        <is>
          <t>Azumarill</t>
        </is>
      </c>
      <c r="C238" t="inlineStr">
        <is>
          <t>Azumarill</t>
        </is>
      </c>
      <c r="D238" t="inlineStr">
        <is>
          <t>English</t>
        </is>
      </c>
      <c r="E238" t="inlineStr">
        <is>
          <t>International</t>
        </is>
      </c>
      <c r="F238" t="inlineStr">
        <is>
          <t>Surging Sparks</t>
        </is>
      </c>
      <c r="G238" t="inlineStr">
        <is>
          <t>074/191</t>
        </is>
      </c>
      <c r="H238" t="inlineStr">
        <is>
          <t>Reverse Holo</t>
        </is>
      </c>
      <c r="I238" t="inlineStr">
        <is>
          <t>Reverse Holo</t>
        </is>
      </c>
      <c r="K238" t="inlineStr">
        <is>
          <t>Out of print</t>
        </is>
      </c>
      <c r="L238" t="inlineStr">
        <is>
          <t>Buy the single. Start with TCGplayer/eBay or a local card show; bundle cheap cards from one seller.</t>
        </is>
      </c>
      <c r="M238" t="inlineStr">
        <is>
          <t>Azumarill 074/191 Surging Sparks English Reverse Holo</t>
        </is>
      </c>
      <c r="N238" t="inlineStr">
        <is>
          <t>Easy</t>
        </is>
      </c>
      <c r="O238" t="inlineStr">
        <is>
          <t>NEED</t>
        </is>
      </c>
      <c r="P238" t="n">
        <v>0</v>
      </c>
      <c r="R238" t="inlineStr">
        <is>
          <t>add official reverse/holo counterpart if issued; add official reverse/holo counterpart if issued; add official reverse/holo counterpart if issued; StableKey=AZF-237</t>
        </is>
      </c>
      <c r="S238" t="inlineStr">
        <is>
          <t>https://bulbapedia.bulbagarden.net/wiki/Azumarill_(TCG)</t>
        </is>
      </c>
    </row>
    <row r="239">
      <c r="A239" t="n">
        <v>238</v>
      </c>
      <c r="B239" t="inlineStr">
        <is>
          <t>Azumarill</t>
        </is>
      </c>
      <c r="C239" t="inlineStr">
        <is>
          <t>Azumarill</t>
        </is>
      </c>
      <c r="D239" t="inlineStr">
        <is>
          <t>Spanish</t>
        </is>
      </c>
      <c r="E239" t="inlineStr">
        <is>
          <t>International</t>
        </is>
      </c>
      <c r="F239" t="inlineStr">
        <is>
          <t>Surging Sparks</t>
        </is>
      </c>
      <c r="G239" t="inlineStr">
        <is>
          <t>074/191</t>
        </is>
      </c>
      <c r="H239" t="inlineStr">
        <is>
          <t>Standard</t>
        </is>
      </c>
      <c r="K239" t="inlineStr">
        <is>
          <t>Out of print</t>
        </is>
      </c>
      <c r="L239" t="inlineStr">
        <is>
          <t>Buy the Spanish single. Cardmarket/eBay are usually best; filter Language = Spanish and bundle orders.</t>
        </is>
      </c>
      <c r="M239" t="inlineStr">
        <is>
          <t>Azumarill 074/191 Surging Sparks Spanish Standard</t>
        </is>
      </c>
      <c r="N239" t="inlineStr">
        <is>
          <t>Medium</t>
        </is>
      </c>
      <c r="O239" t="inlineStr">
        <is>
          <t>NEED</t>
        </is>
      </c>
      <c r="P239" t="n">
        <v>0</v>
      </c>
      <c r="R239" t="inlineStr">
        <is>
          <t>add official reverse/holo counterpart if issued; add official reverse/holo counterpart if issued; add official reverse/holo counterpart if issued; StableKey=AZF-238</t>
        </is>
      </c>
      <c r="S239" t="inlineStr">
        <is>
          <t>https://bulbapedia.bulbagarden.net/wiki/Azumarill_(TCG)</t>
        </is>
      </c>
    </row>
    <row r="240">
      <c r="A240" t="n">
        <v>239</v>
      </c>
      <c r="B240" t="inlineStr">
        <is>
          <t>Azumarill</t>
        </is>
      </c>
      <c r="C240" t="inlineStr">
        <is>
          <t>Azumarill</t>
        </is>
      </c>
      <c r="D240" t="inlineStr">
        <is>
          <t>Spanish</t>
        </is>
      </c>
      <c r="E240" t="inlineStr">
        <is>
          <t>International</t>
        </is>
      </c>
      <c r="F240" t="inlineStr">
        <is>
          <t>Surging Sparks</t>
        </is>
      </c>
      <c r="G240" t="inlineStr">
        <is>
          <t>074/191</t>
        </is>
      </c>
      <c r="H240" t="inlineStr">
        <is>
          <t>Reverse Holo</t>
        </is>
      </c>
      <c r="I240" t="inlineStr">
        <is>
          <t>Reverse Holo</t>
        </is>
      </c>
      <c r="K240" t="inlineStr">
        <is>
          <t>Out of print</t>
        </is>
      </c>
      <c r="L240" t="inlineStr">
        <is>
          <t>Buy the Spanish single. Cardmarket/eBay are usually best; filter Language = Spanish and bundle orders.</t>
        </is>
      </c>
      <c r="M240" t="inlineStr">
        <is>
          <t>Azumarill 074/191 Surging Sparks Spanish Reverse Holo</t>
        </is>
      </c>
      <c r="N240" t="inlineStr">
        <is>
          <t>Medium</t>
        </is>
      </c>
      <c r="O240" t="inlineStr">
        <is>
          <t>NEED</t>
        </is>
      </c>
      <c r="P240" t="n">
        <v>0</v>
      </c>
      <c r="R240" t="inlineStr">
        <is>
          <t>add official reverse/holo counterpart if issued; add official reverse/holo counterpart if issued; add official reverse/holo counterpart if issued; StableKey=AZF-239</t>
        </is>
      </c>
      <c r="S240" t="inlineStr">
        <is>
          <t>https://bulbapedia.bulbagarden.net/wiki/Azumarill_(TCG)</t>
        </is>
      </c>
    </row>
    <row r="241">
      <c r="A241" t="n">
        <v>240</v>
      </c>
      <c r="B241" t="inlineStr">
        <is>
          <t>Azumarill</t>
        </is>
      </c>
      <c r="C241" t="inlineStr">
        <is>
          <t>Azumarill</t>
        </is>
      </c>
      <c r="D241" t="inlineStr">
        <is>
          <t>Japanese</t>
        </is>
      </c>
      <c r="E241" t="inlineStr">
        <is>
          <t>Japan</t>
        </is>
      </c>
      <c r="F241" t="inlineStr">
        <is>
          <t>Stellar Tera Type Starter Set Sylveon ex</t>
        </is>
      </c>
      <c r="G241" t="inlineStr">
        <is>
          <t>004/022</t>
        </is>
      </c>
      <c r="H241" t="inlineStr">
        <is>
          <t>Standard</t>
        </is>
      </c>
      <c r="K241" t="inlineStr">
        <is>
          <t>Out of print</t>
        </is>
      </c>
      <c r="L241" t="inlineStr">
        <is>
          <t>Buy the Japanese single. Use eBay/Cardmarket or Mercari/Yahoo Japan through a proxy; bundle proxy orders.</t>
        </is>
      </c>
      <c r="M241" t="inlineStr">
        <is>
          <t>Azumarill 004/022 Stellar Tera Type Starter Set Sylveon ex Japanese Standard</t>
        </is>
      </c>
      <c r="N241" t="inlineStr">
        <is>
          <t>Medium</t>
        </is>
      </c>
      <c r="O241" t="inlineStr">
        <is>
          <t>NEED</t>
        </is>
      </c>
      <c r="P241" t="n">
        <v>0</v>
      </c>
      <c r="R241" t="inlineStr">
        <is>
          <t>StableKey=AZF-240</t>
        </is>
      </c>
      <c r="S241" t="inlineStr">
        <is>
          <t>https://bulbapedia.bulbagarden.net/wiki/Azumarill_(TCG)</t>
        </is>
      </c>
    </row>
    <row r="242">
      <c r="A242" t="n">
        <v>241</v>
      </c>
      <c r="B242" t="inlineStr">
        <is>
          <t>Azumarill</t>
        </is>
      </c>
      <c r="C242" t="inlineStr">
        <is>
          <t>Light Azumarill</t>
        </is>
      </c>
      <c r="D242" t="inlineStr">
        <is>
          <t>English</t>
        </is>
      </c>
      <c r="E242" t="inlineStr">
        <is>
          <t>International</t>
        </is>
      </c>
      <c r="F242" t="inlineStr">
        <is>
          <t>Neo Destiny</t>
        </is>
      </c>
      <c r="G242" t="inlineStr">
        <is>
          <t>13/105</t>
        </is>
      </c>
      <c r="H242" t="inlineStr">
        <is>
          <t>1st Edition Holo</t>
        </is>
      </c>
      <c r="I242" t="inlineStr">
        <is>
          <t>1st Edition</t>
        </is>
      </c>
      <c r="J242" t="inlineStr">
        <is>
          <t>Yuka Morii / Light Pokémon</t>
        </is>
      </c>
      <c r="K242" t="inlineStr">
        <is>
          <t>Out of print</t>
        </is>
      </c>
      <c r="L242" t="inlineStr">
        <is>
          <t>Buy the single. Start with TCGplayer/eBay or a local card show; bundle cheap cards from one seller.</t>
        </is>
      </c>
      <c r="M242" t="inlineStr">
        <is>
          <t>Azumarill 13/105 Neo Destiny English 1st Edition Holo</t>
        </is>
      </c>
      <c r="N242" t="inlineStr">
        <is>
          <t>Easy</t>
        </is>
      </c>
      <c r="O242" t="inlineStr">
        <is>
          <t>NEED</t>
        </is>
      </c>
      <c r="P242" t="n">
        <v>0</v>
      </c>
      <c r="R242" t="inlineStr">
        <is>
          <t>add official reverse/holo counterpart if issued; add official reverse/holo counterpart if issued; add official reverse/holo counterpart if issued; StableKey=AZF-241</t>
        </is>
      </c>
      <c r="S242" t="inlineStr">
        <is>
          <t>https://bulbapedia.bulbagarden.net/wiki/Azumarill_(TCG)</t>
        </is>
      </c>
    </row>
    <row r="243">
      <c r="A243" t="n">
        <v>242</v>
      </c>
      <c r="B243" t="inlineStr">
        <is>
          <t>Azumarill</t>
        </is>
      </c>
      <c r="C243" t="inlineStr">
        <is>
          <t>Light Azumarill</t>
        </is>
      </c>
      <c r="D243" t="inlineStr">
        <is>
          <t>English</t>
        </is>
      </c>
      <c r="E243" t="inlineStr">
        <is>
          <t>International</t>
        </is>
      </c>
      <c r="F243" t="inlineStr">
        <is>
          <t>Neo Destiny</t>
        </is>
      </c>
      <c r="G243" t="inlineStr">
        <is>
          <t>13/105</t>
        </is>
      </c>
      <c r="H243" t="inlineStr">
        <is>
          <t>Unlimited Holo</t>
        </is>
      </c>
      <c r="I243" t="inlineStr">
        <is>
          <t>Unlimited</t>
        </is>
      </c>
      <c r="J243" t="inlineStr">
        <is>
          <t>Yuka Morii / Light Pokémon</t>
        </is>
      </c>
      <c r="K243" t="inlineStr">
        <is>
          <t>Out of print</t>
        </is>
      </c>
      <c r="L243" t="inlineStr">
        <is>
          <t>Buy the single. Start with TCGplayer/eBay or a local card show; bundle cheap cards from one seller.</t>
        </is>
      </c>
      <c r="M243" t="inlineStr">
        <is>
          <t>Azumarill 13/105 Neo Destiny English Unlimited Holo</t>
        </is>
      </c>
      <c r="N243" t="inlineStr">
        <is>
          <t>Easy</t>
        </is>
      </c>
      <c r="O243" t="inlineStr">
        <is>
          <t>NEED</t>
        </is>
      </c>
      <c r="P243" t="n">
        <v>0</v>
      </c>
      <c r="R243" t="inlineStr">
        <is>
          <t>add official reverse/holo counterpart if issued; add official reverse/holo counterpart if issued; add official reverse/holo counterpart if issued; StableKey=AZF-242</t>
        </is>
      </c>
      <c r="S243" t="inlineStr">
        <is>
          <t>https://bulbapedia.bulbagarden.net/wiki/Azumarill_(TCG)</t>
        </is>
      </c>
    </row>
    <row r="244">
      <c r="A244" t="n">
        <v>243</v>
      </c>
      <c r="B244" t="inlineStr">
        <is>
          <t>Azumarill</t>
        </is>
      </c>
      <c r="C244" t="inlineStr">
        <is>
          <t>Light Azumarill</t>
        </is>
      </c>
      <c r="D244" t="inlineStr">
        <is>
          <t>Japanese</t>
        </is>
      </c>
      <c r="E244" t="inlineStr">
        <is>
          <t>Japan</t>
        </is>
      </c>
      <c r="F244" t="inlineStr">
        <is>
          <t>Darkness, and to Light...</t>
        </is>
      </c>
      <c r="H244" t="inlineStr">
        <is>
          <t>Standard</t>
        </is>
      </c>
      <c r="J244" t="inlineStr">
        <is>
          <t>Yuka Morii / Light Pokémon</t>
        </is>
      </c>
      <c r="K244" t="inlineStr">
        <is>
          <t>Out of print</t>
        </is>
      </c>
      <c r="L244" t="inlineStr">
        <is>
          <t>Buy the Japanese single. Use eBay/Cardmarket or Mercari/Yahoo Japan through a proxy; bundle proxy orders.</t>
        </is>
      </c>
      <c r="M244" t="inlineStr">
        <is>
          <t>Azumarill Darkness, and to Light... Japanese Standard</t>
        </is>
      </c>
      <c r="N244" t="inlineStr">
        <is>
          <t>Medium</t>
        </is>
      </c>
      <c r="O244" t="inlineStr">
        <is>
          <t>NEED</t>
        </is>
      </c>
      <c r="P244" t="n">
        <v>0</v>
      </c>
      <c r="R244" t="inlineStr">
        <is>
          <t>StableKey=AZF-243</t>
        </is>
      </c>
      <c r="S244" t="inlineStr">
        <is>
          <t>https://bulbapedia.bulbagarden.net/wiki/Azumarill_(TCG)</t>
        </is>
      </c>
    </row>
    <row r="245">
      <c r="A245" t="n">
        <v>244</v>
      </c>
      <c r="B245" t="inlineStr">
        <is>
          <t>Azumarill</t>
        </is>
      </c>
      <c r="C245" t="inlineStr">
        <is>
          <t>Azumarill ex</t>
        </is>
      </c>
      <c r="D245" t="inlineStr">
        <is>
          <t>English</t>
        </is>
      </c>
      <c r="E245" t="inlineStr">
        <is>
          <t>International</t>
        </is>
      </c>
      <c r="F245" t="inlineStr">
        <is>
          <t>Ascended Heroes</t>
        </is>
      </c>
      <c r="G245" t="inlineStr">
        <is>
          <t>084/217</t>
        </is>
      </c>
      <c r="H245" t="inlineStr">
        <is>
          <t>Pokémon ex</t>
        </is>
      </c>
      <c r="I245" t="inlineStr">
        <is>
          <t>Pokémon ex</t>
        </is>
      </c>
      <c r="J245" t="inlineStr">
        <is>
          <t>Current era</t>
        </is>
      </c>
      <c r="K245" t="inlineStr">
        <is>
          <t>Current sealed possible</t>
        </is>
      </c>
      <c r="L245" t="inlineStr">
        <is>
          <t>Packs are possible, but buy the single if completion is the goal.</t>
        </is>
      </c>
      <c r="M245" t="inlineStr">
        <is>
          <t>Azumarill 084/217 Ascended Heroes English Pokémon ex</t>
        </is>
      </c>
      <c r="N245" t="inlineStr">
        <is>
          <t>Easy</t>
        </is>
      </c>
      <c r="O245" t="inlineStr">
        <is>
          <t>NEED</t>
        </is>
      </c>
      <c r="P245" t="n">
        <v>0</v>
      </c>
      <c r="R245" t="inlineStr">
        <is>
          <t>add official reverse/holo counterpart if issued; add official reverse/holo counterpart if issued; add official reverse/holo counterpart if issued; StableKey=AZF-244</t>
        </is>
      </c>
      <c r="S245" t="inlineStr">
        <is>
          <t>https://bulbapedia.bulbagarden.net/wiki/Azumarill_(TCG)</t>
        </is>
      </c>
    </row>
    <row r="246">
      <c r="A246" t="n">
        <v>245</v>
      </c>
      <c r="B246" t="inlineStr">
        <is>
          <t>Azumarill</t>
        </is>
      </c>
      <c r="C246" t="inlineStr">
        <is>
          <t>Azumarill ex</t>
        </is>
      </c>
      <c r="D246" t="inlineStr">
        <is>
          <t>Spanish</t>
        </is>
      </c>
      <c r="E246" t="inlineStr">
        <is>
          <t>International</t>
        </is>
      </c>
      <c r="F246" t="inlineStr">
        <is>
          <t>Ascended Heroes</t>
        </is>
      </c>
      <c r="G246" t="inlineStr">
        <is>
          <t>084/217</t>
        </is>
      </c>
      <c r="H246" t="inlineStr">
        <is>
          <t>Pokémon ex</t>
        </is>
      </c>
      <c r="I246" t="inlineStr">
        <is>
          <t>Pokémon ex</t>
        </is>
      </c>
      <c r="J246" t="inlineStr">
        <is>
          <t>Current era</t>
        </is>
      </c>
      <c r="K246" t="inlineStr">
        <is>
          <t>Current sealed possible</t>
        </is>
      </c>
      <c r="L246" t="inlineStr">
        <is>
          <t>Packs are possible, but buy the single if completion is the goal.</t>
        </is>
      </c>
      <c r="M246" t="inlineStr">
        <is>
          <t>Azumarill 084/217 Ascended Heroes Spanish Pokémon ex</t>
        </is>
      </c>
      <c r="N246" t="inlineStr">
        <is>
          <t>Medium</t>
        </is>
      </c>
      <c r="O246" t="inlineStr">
        <is>
          <t>NEED</t>
        </is>
      </c>
      <c r="P246" t="n">
        <v>0</v>
      </c>
      <c r="R246" t="inlineStr">
        <is>
          <t>add official reverse/holo counterpart if issued; add official reverse/holo counterpart if issued; add official reverse/holo counterpart if issued; StableKey=AZF-245</t>
        </is>
      </c>
      <c r="S246" t="inlineStr">
        <is>
          <t>https://bulbapedia.bulbagarden.net/wiki/Azumarill_(TCG)</t>
        </is>
      </c>
    </row>
    <row r="247">
      <c r="A247" t="n">
        <v>246</v>
      </c>
      <c r="B247" t="inlineStr">
        <is>
          <t>Azumarill</t>
        </is>
      </c>
      <c r="C247" t="inlineStr">
        <is>
          <t>Azumarill ex</t>
        </is>
      </c>
      <c r="D247" t="inlineStr">
        <is>
          <t>Japanese</t>
        </is>
      </c>
      <c r="E247" t="inlineStr">
        <is>
          <t>Japan</t>
        </is>
      </c>
      <c r="F247" t="inlineStr">
        <is>
          <t>Start Deck 100 Battle Collection</t>
        </is>
      </c>
      <c r="G247" t="inlineStr">
        <is>
          <t>297/742</t>
        </is>
      </c>
      <c r="H247" t="inlineStr">
        <is>
          <t>Standard</t>
        </is>
      </c>
      <c r="J247" t="inlineStr">
        <is>
          <t>Current era</t>
        </is>
      </c>
      <c r="K247" t="inlineStr">
        <is>
          <t>Current sealed possible</t>
        </is>
      </c>
      <c r="L247" t="inlineStr">
        <is>
          <t>Packs are possible, but buy the single if completion is the goal.</t>
        </is>
      </c>
      <c r="M247" t="inlineStr">
        <is>
          <t>Azumarill 297/742 Start Deck 100 Battle Collection Japanese Standard</t>
        </is>
      </c>
      <c r="N247" t="inlineStr">
        <is>
          <t>Medium</t>
        </is>
      </c>
      <c r="O247" t="inlineStr">
        <is>
          <t>NEED</t>
        </is>
      </c>
      <c r="P247" t="n">
        <v>0</v>
      </c>
      <c r="R247" t="inlineStr">
        <is>
          <t>StableKey=AZF-246</t>
        </is>
      </c>
      <c r="S247" t="inlineStr">
        <is>
          <t>https://bulbapedia.bulbagarden.net/wiki/Azumarill_(TCG)</t>
        </is>
      </c>
    </row>
    <row r="248">
      <c r="A248" t="n">
        <v>247</v>
      </c>
      <c r="B248" t="inlineStr">
        <is>
          <t>Azumarill</t>
        </is>
      </c>
      <c r="C248" t="inlineStr">
        <is>
          <t>Azumarill</t>
        </is>
      </c>
      <c r="D248" t="inlineStr">
        <is>
          <t>Japanese</t>
        </is>
      </c>
      <c r="E248" t="inlineStr">
        <is>
          <t>Japan</t>
        </is>
      </c>
      <c r="F248" t="inlineStr">
        <is>
          <t>Everyone's Exciting Battle</t>
        </is>
      </c>
      <c r="G248" t="inlineStr">
        <is>
          <t>012/047</t>
        </is>
      </c>
      <c r="H248" t="inlineStr">
        <is>
          <t>Special product printing</t>
        </is>
      </c>
      <c r="I248" t="inlineStr">
        <is>
          <t>Special product printing</t>
        </is>
      </c>
      <c r="J248" t="inlineStr">
        <is>
          <t>Japanese special product</t>
        </is>
      </c>
      <c r="K248" t="inlineStr">
        <is>
          <t>Out of print</t>
        </is>
      </c>
      <c r="L248" t="inlineStr">
        <is>
          <t>Buy the Japanese single. Use eBay/Cardmarket or Mercari/Yahoo Japan through a proxy; bundle proxy orders.</t>
        </is>
      </c>
      <c r="M248" t="inlineStr">
        <is>
          <t>Azumarill 012/047 Everyone's Exciting Battle Japanese Special product printing</t>
        </is>
      </c>
      <c r="N248" t="inlineStr">
        <is>
          <t>Very Hard</t>
        </is>
      </c>
      <c r="O248" t="inlineStr">
        <is>
          <t>NEED</t>
        </is>
      </c>
      <c r="P248" t="n">
        <v>0</v>
      </c>
      <c r="R248" t="inlineStr">
        <is>
          <t>StableKey=AZF-247</t>
        </is>
      </c>
      <c r="S248" t="inlineStr">
        <is>
          <t>https://bulbapedia.bulbagarden.net/wiki/Azumarill_(TCG)</t>
        </is>
      </c>
    </row>
    <row r="249">
      <c r="A249" t="n">
        <v>248</v>
      </c>
      <c r="B249" t="inlineStr">
        <is>
          <t>Azumarill</t>
        </is>
      </c>
      <c r="C249" t="inlineStr">
        <is>
          <t>Azumarill</t>
        </is>
      </c>
      <c r="D249" t="inlineStr">
        <is>
          <t>Japanese</t>
        </is>
      </c>
      <c r="E249" t="inlineStr">
        <is>
          <t>Japan</t>
        </is>
      </c>
      <c r="F249" t="inlineStr">
        <is>
          <t>Generations Start Deck Lugia ex &amp; Tyranitar ex</t>
        </is>
      </c>
      <c r="G249" t="inlineStr">
        <is>
          <t>030/175</t>
        </is>
      </c>
      <c r="H249" t="inlineStr">
        <is>
          <t>Deck reprint</t>
        </is>
      </c>
      <c r="I249" t="inlineStr">
        <is>
          <t>Deck reprint</t>
        </is>
      </c>
      <c r="J249" t="inlineStr">
        <is>
          <t>Japanese deck</t>
        </is>
      </c>
      <c r="K249" t="inlineStr">
        <is>
          <t>Out of print</t>
        </is>
      </c>
      <c r="L249" t="inlineStr">
        <is>
          <t>Buy the Japanese single. Use eBay/Cardmarket or Mercari/Yahoo Japan through a proxy; bundle proxy orders.</t>
        </is>
      </c>
      <c r="M249" t="inlineStr">
        <is>
          <t>Azumarill 030/175 Generations Start Deck Lugia ex &amp; Tyranitar ex Japanese Deck reprint</t>
        </is>
      </c>
      <c r="N249" t="inlineStr">
        <is>
          <t>Medium</t>
        </is>
      </c>
      <c r="O249" t="inlineStr">
        <is>
          <t>NEED</t>
        </is>
      </c>
      <c r="P249" t="n">
        <v>0</v>
      </c>
      <c r="R249" t="inlineStr">
        <is>
          <t>StableKey=AZF-248</t>
        </is>
      </c>
      <c r="S249" t="inlineStr">
        <is>
          <t>https://bulbapedia.bulbagarden.net/wiki/Azumarill_(Paldea_Evolved_45)</t>
        </is>
      </c>
    </row>
    <row r="250">
      <c r="A250" t="n">
        <v>249</v>
      </c>
      <c r="B250" t="inlineStr">
        <is>
          <t>Azumarill</t>
        </is>
      </c>
      <c r="C250" t="inlineStr">
        <is>
          <t>Azumarill</t>
        </is>
      </c>
      <c r="D250" t="inlineStr">
        <is>
          <t>Japanese</t>
        </is>
      </c>
      <c r="E250" t="inlineStr">
        <is>
          <t>Japan</t>
        </is>
      </c>
      <c r="F250" t="inlineStr">
        <is>
          <t>Pokémon Card Game Battle Academy</t>
        </is>
      </c>
      <c r="G250" t="inlineStr">
        <is>
          <t>014/066</t>
        </is>
      </c>
      <c r="H250" t="inlineStr">
        <is>
          <t>Greninja-stamped printing</t>
        </is>
      </c>
      <c r="I250" t="inlineStr">
        <is>
          <t>Greninja-stamped printing</t>
        </is>
      </c>
      <c r="J250" t="inlineStr">
        <is>
          <t>Stamped / Japanese deck</t>
        </is>
      </c>
      <c r="K250" t="inlineStr">
        <is>
          <t>Out of print</t>
        </is>
      </c>
      <c r="L250" t="inlineStr">
        <is>
          <t>Buy the Japanese single. Use eBay/Cardmarket or Mercari/Yahoo Japan through a proxy; bundle proxy orders.</t>
        </is>
      </c>
      <c r="M250" t="inlineStr">
        <is>
          <t>Azumarill 014/066 Pokémon Card Game Battle Academy Japanese Greninja-stamped printing</t>
        </is>
      </c>
      <c r="N250" t="inlineStr">
        <is>
          <t>Hard</t>
        </is>
      </c>
      <c r="O250" t="inlineStr">
        <is>
          <t>NEED</t>
        </is>
      </c>
      <c r="P250" t="n">
        <v>0</v>
      </c>
      <c r="R250" t="inlineStr">
        <is>
          <t>StableKey=AZF-249</t>
        </is>
      </c>
      <c r="S250" t="inlineStr">
        <is>
          <t>https://bulbapedia.bulbagarden.net/wiki/Azumarill_(Stellar_Crown_34)</t>
        </is>
      </c>
    </row>
    <row r="251">
      <c r="A251" t="n">
        <v>250</v>
      </c>
      <c r="B251" t="inlineStr">
        <is>
          <t>Azumarill</t>
        </is>
      </c>
      <c r="C251" t="inlineStr">
        <is>
          <t>Azumarill</t>
        </is>
      </c>
      <c r="D251" t="inlineStr">
        <is>
          <t>Thai</t>
        </is>
      </c>
      <c r="E251" t="inlineStr">
        <is>
          <t>Thailand</t>
        </is>
      </c>
      <c r="F251" t="inlineStr">
        <is>
          <t>Scarlet &amp; Violet Thai Promos</t>
        </is>
      </c>
      <c r="G251" t="inlineStr">
        <is>
          <t>211</t>
        </is>
      </c>
      <c r="H251" t="inlineStr">
        <is>
          <t>Regional promo</t>
        </is>
      </c>
      <c r="I251" t="inlineStr">
        <is>
          <t>Regional promo</t>
        </is>
      </c>
      <c r="J251" t="inlineStr">
        <is>
          <t>Thai exclusive / regional</t>
        </is>
      </c>
      <c r="K251" t="inlineStr">
        <is>
          <t>Out of print</t>
        </is>
      </c>
      <c r="L251" t="inlineStr">
        <is>
          <t>Regional exclusive: buy the exact numbered single from eBay, Cardmarket, or a specialist seller; use saved searches.</t>
        </is>
      </c>
      <c r="M251" t="inlineStr">
        <is>
          <t>Azumarill 211 Scarlet &amp; Violet Thai Promos Thai Regional promo</t>
        </is>
      </c>
      <c r="N251" t="inlineStr">
        <is>
          <t>Very Hard</t>
        </is>
      </c>
      <c r="O251" t="inlineStr">
        <is>
          <t>NEED</t>
        </is>
      </c>
      <c r="P251" t="n">
        <v>0</v>
      </c>
      <c r="R251" t="inlineStr">
        <is>
          <t>StableKey=AZF-250</t>
        </is>
      </c>
      <c r="S251" t="inlineStr">
        <is>
          <t>https://www.cardmarket.com/en/Pokemon/Species/Azumarill</t>
        </is>
      </c>
    </row>
    <row r="252">
      <c r="A252" t="n">
        <v>251</v>
      </c>
      <c r="B252" t="inlineStr">
        <is>
          <t>Azumarill</t>
        </is>
      </c>
      <c r="C252" t="inlineStr">
        <is>
          <t>Azumarill</t>
        </is>
      </c>
      <c r="D252" t="inlineStr">
        <is>
          <t>Indonesian</t>
        </is>
      </c>
      <c r="E252" t="inlineStr">
        <is>
          <t>Indonesia</t>
        </is>
      </c>
      <c r="F252" t="inlineStr">
        <is>
          <t>Scarlet &amp; Violet Indonesian Promos</t>
        </is>
      </c>
      <c r="G252" t="inlineStr">
        <is>
          <t>214</t>
        </is>
      </c>
      <c r="H252" t="inlineStr">
        <is>
          <t>Regional promo</t>
        </is>
      </c>
      <c r="I252" t="inlineStr">
        <is>
          <t>Regional promo</t>
        </is>
      </c>
      <c r="J252" t="inlineStr">
        <is>
          <t>Indonesia exclusive / regional</t>
        </is>
      </c>
      <c r="K252" t="inlineStr">
        <is>
          <t>Out of print</t>
        </is>
      </c>
      <c r="L252" t="inlineStr">
        <is>
          <t>Regional exclusive: buy the exact numbered single from eBay, Cardmarket, or a specialist seller; use saved searches.</t>
        </is>
      </c>
      <c r="M252" t="inlineStr">
        <is>
          <t>Azumarill 214 Scarlet &amp; Violet Indonesian Promos Indonesian Regional promo</t>
        </is>
      </c>
      <c r="N252" t="inlineStr">
        <is>
          <t>Very Hard</t>
        </is>
      </c>
      <c r="O252" t="inlineStr">
        <is>
          <t>NEED</t>
        </is>
      </c>
      <c r="P252" t="n">
        <v>0</v>
      </c>
      <c r="R252" t="inlineStr">
        <is>
          <t>StableKey=AZF-251</t>
        </is>
      </c>
      <c r="S252" t="inlineStr">
        <is>
          <t>https://www.cardmarket.com/en/Pokemon/Species/Azumarill</t>
        </is>
      </c>
    </row>
    <row r="253">
      <c r="A253" t="n">
        <v>252</v>
      </c>
      <c r="B253" t="inlineStr">
        <is>
          <t>Azumarill</t>
        </is>
      </c>
      <c r="C253" t="inlineStr">
        <is>
          <t>Azumarill</t>
        </is>
      </c>
      <c r="D253" t="inlineStr">
        <is>
          <t>Chinese</t>
        </is>
      </c>
      <c r="E253" t="inlineStr">
        <is>
          <t>China</t>
        </is>
      </c>
      <c r="F253" t="inlineStr">
        <is>
          <t>Fearless Terastal</t>
        </is>
      </c>
      <c r="G253" t="inlineStr">
        <is>
          <t>035</t>
        </is>
      </c>
      <c r="H253" t="inlineStr">
        <is>
          <t>Regional numbered release</t>
        </is>
      </c>
      <c r="I253" t="inlineStr">
        <is>
          <t>Regional numbered release</t>
        </is>
      </c>
      <c r="J253" t="inlineStr">
        <is>
          <t>China exclusive / regional</t>
        </is>
      </c>
      <c r="K253" t="inlineStr">
        <is>
          <t>Out of print</t>
        </is>
      </c>
      <c r="L253" t="inlineStr">
        <is>
          <t>Regional exclusive: buy the exact numbered single from eBay, Cardmarket, or a specialist seller; use saved searches.</t>
        </is>
      </c>
      <c r="M253" t="inlineStr">
        <is>
          <t>Azumarill 035 Fearless Terastal Chinese Regional numbered release</t>
        </is>
      </c>
      <c r="N253" t="inlineStr">
        <is>
          <t>Hard</t>
        </is>
      </c>
      <c r="O253" t="inlineStr">
        <is>
          <t>NEED</t>
        </is>
      </c>
      <c r="P253" t="n">
        <v>0</v>
      </c>
      <c r="R253" t="inlineStr">
        <is>
          <t>StableKey=AZF-252</t>
        </is>
      </c>
      <c r="S253" t="inlineStr">
        <is>
          <t>https://www.cardmarket.com/en/Pokemon/Species/Azumarill</t>
        </is>
      </c>
    </row>
    <row r="254">
      <c r="A254" t="n">
        <v>253</v>
      </c>
      <c r="B254" t="inlineStr">
        <is>
          <t>Azumarill</t>
        </is>
      </c>
      <c r="C254" t="inlineStr">
        <is>
          <t>Azumarill</t>
        </is>
      </c>
      <c r="D254" t="inlineStr">
        <is>
          <t>Chinese</t>
        </is>
      </c>
      <c r="E254" t="inlineStr">
        <is>
          <t>China</t>
        </is>
      </c>
      <c r="F254" t="inlineStr">
        <is>
          <t>Final Flame Dance</t>
        </is>
      </c>
      <c r="G254" t="inlineStr">
        <is>
          <t>007</t>
        </is>
      </c>
      <c r="H254" t="inlineStr">
        <is>
          <t>Regional numbered release</t>
        </is>
      </c>
      <c r="I254" t="inlineStr">
        <is>
          <t>Regional numbered release</t>
        </is>
      </c>
      <c r="J254" t="inlineStr">
        <is>
          <t>China exclusive / regional</t>
        </is>
      </c>
      <c r="K254" t="inlineStr">
        <is>
          <t>Out of print</t>
        </is>
      </c>
      <c r="L254" t="inlineStr">
        <is>
          <t>Regional exclusive: buy the exact numbered single from eBay, Cardmarket, or a specialist seller; use saved searches.</t>
        </is>
      </c>
      <c r="M254" t="inlineStr">
        <is>
          <t>Azumarill 007 Final Flame Dance Chinese Regional numbered release</t>
        </is>
      </c>
      <c r="N254" t="inlineStr">
        <is>
          <t>Hard</t>
        </is>
      </c>
      <c r="O254" t="inlineStr">
        <is>
          <t>NEED</t>
        </is>
      </c>
      <c r="P254" t="n">
        <v>0</v>
      </c>
      <c r="R254" t="inlineStr">
        <is>
          <t>StableKey=AZF-253</t>
        </is>
      </c>
      <c r="S254" t="inlineStr">
        <is>
          <t>https://www.cardmarket.com/en/Pokemon/Species/Azumarill</t>
        </is>
      </c>
    </row>
    <row r="255">
      <c r="A255" t="n">
        <v>254</v>
      </c>
      <c r="B255" t="inlineStr">
        <is>
          <t>Azumarill</t>
        </is>
      </c>
      <c r="C255" t="inlineStr">
        <is>
          <t>Azumarill</t>
        </is>
      </c>
      <c r="D255" t="inlineStr">
        <is>
          <t>English</t>
        </is>
      </c>
      <c r="E255" t="inlineStr">
        <is>
          <t>International</t>
        </is>
      </c>
      <c r="F255" t="inlineStr">
        <is>
          <t>Play! Pokémon Prize Pack Series Seven</t>
        </is>
      </c>
      <c r="G255" t="inlineStr">
        <is>
          <t>SSP 074</t>
        </is>
      </c>
      <c r="H255" t="inlineStr">
        <is>
          <t>Prize Pack stamped/parallel printing</t>
        </is>
      </c>
      <c r="I255" t="inlineStr">
        <is>
          <t>Prize Pack stamped/parallel printing</t>
        </is>
      </c>
      <c r="J255" t="inlineStr">
        <is>
          <t>Play! Pokémon / Prize Pack</t>
        </is>
      </c>
      <c r="K255" t="inlineStr">
        <is>
          <t>Out of print</t>
        </is>
      </c>
      <c r="L255" t="inlineStr">
        <is>
          <t>Buy the single. Start with TCGplayer/eBay or a local card show; bundle cheap cards from one seller.</t>
        </is>
      </c>
      <c r="M255" t="inlineStr">
        <is>
          <t>Azumarill SSP 074 Play! Pokémon Prize Pack Series Seven English Prize Pack stamped/parallel printing</t>
        </is>
      </c>
      <c r="N255" t="inlineStr">
        <is>
          <t>Medium</t>
        </is>
      </c>
      <c r="O255" t="inlineStr">
        <is>
          <t>NEED</t>
        </is>
      </c>
      <c r="P255" t="n">
        <v>0</v>
      </c>
      <c r="R255" t="inlineStr">
        <is>
          <t>StableKey=AZF-254</t>
        </is>
      </c>
      <c r="S255" t="inlineStr">
        <is>
          <t>https://www.cardmarket.com/en/Pokemon/Species/Azumarill</t>
        </is>
      </c>
    </row>
    <row r="256">
      <c r="A256" t="n">
        <v>255</v>
      </c>
      <c r="B256" t="inlineStr">
        <is>
          <t>Azumarill</t>
        </is>
      </c>
      <c r="C256" t="inlineStr">
        <is>
          <t>Azumarill</t>
        </is>
      </c>
      <c r="D256" t="inlineStr">
        <is>
          <t>Thai</t>
        </is>
      </c>
      <c r="E256" t="inlineStr">
        <is>
          <t>Thailand</t>
        </is>
      </c>
      <c r="F256" t="inlineStr">
        <is>
          <t>M-P Thai Promos</t>
        </is>
      </c>
      <c r="G256" t="inlineStr">
        <is>
          <t>064</t>
        </is>
      </c>
      <c r="H256" t="inlineStr">
        <is>
          <t>Regional promo</t>
        </is>
      </c>
      <c r="I256" t="inlineStr">
        <is>
          <t>Regional promo</t>
        </is>
      </c>
      <c r="J256" t="inlineStr">
        <is>
          <t>Thai exclusive / regional</t>
        </is>
      </c>
      <c r="K256" t="inlineStr">
        <is>
          <t>Out of print</t>
        </is>
      </c>
      <c r="L256" t="inlineStr">
        <is>
          <t>Regional exclusive: buy the exact numbered single from eBay, Cardmarket, or a specialist seller; use saved searches.</t>
        </is>
      </c>
      <c r="M256" t="inlineStr">
        <is>
          <t>Azumarill 064 M-P Thai Promos Thai Regional promo</t>
        </is>
      </c>
      <c r="N256" t="inlineStr">
        <is>
          <t>Very Hard</t>
        </is>
      </c>
      <c r="O256" t="inlineStr">
        <is>
          <t>NEED</t>
        </is>
      </c>
      <c r="P256" t="n">
        <v>0</v>
      </c>
      <c r="R256" t="inlineStr">
        <is>
          <t>StableKey=AZF-255</t>
        </is>
      </c>
      <c r="S256" t="inlineStr">
        <is>
          <t>https://www.cardmarket.com/en/Pokemon/Species/Azumarill</t>
        </is>
      </c>
    </row>
    <row r="257">
      <c r="A257" t="n">
        <v>256</v>
      </c>
      <c r="B257" t="inlineStr">
        <is>
          <t>Azumarill</t>
        </is>
      </c>
      <c r="C257" t="inlineStr">
        <is>
          <t>Azumarill</t>
        </is>
      </c>
      <c r="D257" t="inlineStr">
        <is>
          <t>Chinese</t>
        </is>
      </c>
      <c r="E257" t="inlineStr">
        <is>
          <t>China</t>
        </is>
      </c>
      <c r="F257" t="inlineStr">
        <is>
          <t>Stellar Crystal</t>
        </is>
      </c>
      <c r="G257" t="inlineStr">
        <is>
          <t>077</t>
        </is>
      </c>
      <c r="H257" t="inlineStr">
        <is>
          <t>Regional numbered release</t>
        </is>
      </c>
      <c r="I257" t="inlineStr">
        <is>
          <t>Regional numbered release</t>
        </is>
      </c>
      <c r="J257" t="inlineStr">
        <is>
          <t>China exclusive / regional</t>
        </is>
      </c>
      <c r="K257" t="inlineStr">
        <is>
          <t>Out of print</t>
        </is>
      </c>
      <c r="L257" t="inlineStr">
        <is>
          <t>Regional exclusive: buy the exact numbered single from eBay, Cardmarket, or a specialist seller; use saved searches.</t>
        </is>
      </c>
      <c r="M257" t="inlineStr">
        <is>
          <t>Azumarill 077 Stellar Crystal Chinese Regional numbered release</t>
        </is>
      </c>
      <c r="N257" t="inlineStr">
        <is>
          <t>Hard</t>
        </is>
      </c>
      <c r="O257" t="inlineStr">
        <is>
          <t>NEED</t>
        </is>
      </c>
      <c r="P257" t="n">
        <v>0</v>
      </c>
      <c r="R257" t="inlineStr">
        <is>
          <t>StableKey=AZF-256</t>
        </is>
      </c>
      <c r="S257" t="inlineStr">
        <is>
          <t>https://www.cardmarket.com/en/Pokemon/Species/Azumarill</t>
        </is>
      </c>
    </row>
    <row r="258">
      <c r="A258" t="n">
        <v>257</v>
      </c>
      <c r="B258" t="inlineStr">
        <is>
          <t>Azurill</t>
        </is>
      </c>
      <c r="C258" t="inlineStr">
        <is>
          <t>Azurill</t>
        </is>
      </c>
      <c r="D258" t="inlineStr">
        <is>
          <t>Japanese</t>
        </is>
      </c>
      <c r="E258" t="inlineStr">
        <is>
          <t>Japan</t>
        </is>
      </c>
      <c r="F258" t="inlineStr">
        <is>
          <t>Storm Emeralda</t>
        </is>
      </c>
      <c r="G258" t="inlineStr">
        <is>
          <t>086/076</t>
        </is>
      </c>
      <c r="H258" t="inlineStr">
        <is>
          <t>Illustration Rare</t>
        </is>
      </c>
      <c r="I258" t="inlineStr">
        <is>
          <t>Japanese-only Illustration Rare</t>
        </is>
      </c>
      <c r="J258" t="inlineStr">
        <is>
          <t>Japan exclusive / Illustration Rare</t>
        </is>
      </c>
      <c r="K258" t="inlineStr">
        <is>
          <t>Current sealed possible</t>
        </is>
      </c>
      <c r="L258" t="inlineStr">
        <is>
          <t>Packs are possible, but buy the single if completion is the goal.</t>
        </is>
      </c>
      <c r="M258" t="inlineStr">
        <is>
          <t>Azurill 086/076 Storm Emeralda Japanese Illustration Rare</t>
        </is>
      </c>
      <c r="N258" t="inlineStr">
        <is>
          <t>Medium</t>
        </is>
      </c>
      <c r="O258" t="inlineStr">
        <is>
          <t>NEED</t>
        </is>
      </c>
      <c r="P258" t="n">
        <v>0</v>
      </c>
      <c r="R258" t="inlineStr">
        <is>
          <t>Added in final gap audit after Storm Emeralda released 2026-07-31.; Artist=Narumi Sato; StableKey=AZF-257</t>
        </is>
      </c>
      <c r="S258" t="inlineStr">
        <is>
          <t>https://bulbapedia.bulbagarden.net/wiki/Azurill_(TCG)</t>
        </is>
      </c>
    </row>
  </sheetData>
  <conditionalFormatting sqref="O2:O180">
    <cfRule type="expression" priority="1" dxfId="0">
      <formula>O2="OWNED"</formula>
    </cfRule>
    <cfRule type="expression" priority="2" dxfId="1">
      <formula>O2="ORDERED"</formula>
    </cfRule>
  </conditionalFormatting>
  <conditionalFormatting sqref="N2:N180">
    <cfRule type="expression" priority="3" dxfId="2">
      <formula>N2="Very Hard"</formula>
    </cfRule>
  </conditionalFormatting>
  <conditionalFormatting sqref="J2:J180">
    <cfRule type="expression" priority="4" dxfId="3">
      <formula>ISNUMBER(SEARCH("Asako",J2))</formula>
    </cfRule>
    <cfRule type="expression" priority="5" dxfId="4">
      <formula>ISNUMBER(SEARCH("McDonald",J2))</formula>
    </cfRule>
  </conditionalFormatting>
  <conditionalFormatting sqref="O2:O254">
    <cfRule type="expression" priority="6" dxfId="0">
      <formula>O2="OWNED"</formula>
    </cfRule>
    <cfRule type="expression" priority="7" dxfId="1">
      <formula>O2="VERIFY"</formula>
    </cfRule>
    <cfRule type="expression" priority="8" dxfId="20">
      <formula>O2="ORDERED"</formula>
    </cfRule>
  </conditionalFormatting>
  <conditionalFormatting sqref="O2:O258">
    <cfRule type="expression" priority="9" dxfId="22">
      <formula>O2="OWNED"</formula>
    </cfRule>
    <cfRule type="expression" priority="10" dxfId="23">
      <formula>O2="ORDERED"</formula>
    </cfRule>
    <cfRule type="expression" priority="11" dxfId="24">
      <formula>O2="SKIP"</formula>
    </cfRule>
    <cfRule type="expression" priority="12" dxfId="25">
      <formula>O2="NEED"</formula>
    </cfRule>
  </conditionalFormatting>
  <dataValidations count="3">
    <dataValidation sqref="O2:O180" showDropDown="0" showInputMessage="0" showErrorMessage="0" allowBlank="0" type="list">
      <formula1>"NEED,OWNED,ORDERED,VERIFY,SKIP"</formula1>
    </dataValidation>
    <dataValidation sqref="O2:O254" showDropDown="0" showInputMessage="0" showErrorMessage="0" allowBlank="0" type="list">
      <formula1>"NEED,OWNED,ORDERED,VERIFY,SKIP"</formula1>
    </dataValidation>
    <dataValidation sqref="O2:O258" showDropDown="0" showInputMessage="0" showErrorMessage="0" allowBlank="0" type="list">
      <formula1>"NEED,OWNED,ORDERED,SKIP"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22" customWidth="1" style="37" min="2" max="2"/>
    <col width="55" customWidth="1" style="37" min="3" max="3"/>
    <col width="22" customWidth="1" style="37" min="4" max="4"/>
    <col width="48" customWidth="1" style="37" min="5" max="5"/>
  </cols>
  <sheetData>
    <row r="1">
      <c r="A1" s="55" t="inlineStr">
        <is>
          <t>Rule</t>
        </is>
      </c>
      <c r="B1" s="26" t="inlineStr">
        <is>
          <t>Language / region</t>
        </is>
      </c>
      <c r="C1" s="26" t="inlineStr">
        <is>
          <t>What counts here</t>
        </is>
      </c>
      <c r="D1" s="26" t="inlineStr">
        <is>
          <t>Required for 100% Core?</t>
        </is>
      </c>
      <c r="E1" s="26" t="inlineStr">
        <is>
          <t>How to handle</t>
        </is>
      </c>
    </row>
    <row r="2">
      <c r="A2" s="26" t="inlineStr">
        <is>
          <t>Translated duplicates</t>
        </is>
      </c>
      <c r="B2" s="26" t="inlineStr">
        <is>
          <t>French, German, Italian, Portuguese, Korean, etc.</t>
        </is>
      </c>
      <c r="C2" s="26" t="inlineStr">
        <is>
          <t>A translation of a Core card with no unique artwork/product/finish/stamp.</t>
        </is>
      </c>
      <c r="D2" s="26" t="inlineStr">
        <is>
          <t>No</t>
        </is>
      </c>
      <c r="E2" s="26" t="inlineStr">
        <is>
          <t>Buy when fun or cheap; do not chase for completion.</t>
        </is>
      </c>
    </row>
    <row r="3">
      <c r="A3" s="26" t="inlineStr">
        <is>
          <t>Unique regional release</t>
        </is>
      </c>
      <c r="B3" s="26" t="inlineStr">
        <is>
          <t>Any language</t>
        </is>
      </c>
      <c r="C3" s="26" t="inlineStr">
        <is>
          <t>Different card number, exclusive promo/product, stamp, foil, or physical treatment.</t>
        </is>
      </c>
      <c r="D3" s="26" t="inlineStr">
        <is>
          <t>YES - moved to Core</t>
        </is>
      </c>
      <c r="E3" s="26" t="inlineStr">
        <is>
          <t>Use exact product/card number and saved searches.</t>
        </is>
      </c>
    </row>
    <row r="4">
      <c r="A4" s="26" t="inlineStr">
        <is>
          <t>Spanish</t>
        </is>
      </c>
      <c r="B4" s="26" t="inlineStr">
        <is>
          <t>Spanish</t>
        </is>
      </c>
      <c r="C4" s="26" t="inlineStr">
        <is>
          <t>Spanish is one of the three chosen baseline languages.</t>
        </is>
      </c>
      <c r="D4" s="26" t="inlineStr">
        <is>
          <t>YES</t>
        </is>
      </c>
      <c r="E4" s="26" t="inlineStr">
        <is>
          <t>Track in Core whenever an official Spanish printing exists.</t>
        </is>
      </c>
    </row>
    <row r="5">
      <c r="A5" s="26" t="inlineStr">
        <is>
          <t>English</t>
        </is>
      </c>
      <c r="B5" s="26" t="inlineStr">
        <is>
          <t>English</t>
        </is>
      </c>
      <c r="C5" s="26" t="inlineStr">
        <is>
          <t>Baseline international language.</t>
        </is>
      </c>
      <c r="D5" s="26" t="inlineStr">
        <is>
          <t>YES</t>
        </is>
      </c>
      <c r="E5" s="26" t="inlineStr">
        <is>
          <t>Track in Core.</t>
        </is>
      </c>
    </row>
    <row r="6">
      <c r="A6" s="26" t="inlineStr">
        <is>
          <t>Japanese</t>
        </is>
      </c>
      <c r="B6" s="26" t="inlineStr">
        <is>
          <t>Japanese</t>
        </is>
      </c>
      <c r="C6" s="26" t="inlineStr">
        <is>
          <t>Baseline original-market language plus Japanese exclusives.</t>
        </is>
      </c>
      <c r="D6" s="26" t="inlineStr">
        <is>
          <t>YES</t>
        </is>
      </c>
      <c r="E6" s="26" t="inlineStr">
        <is>
          <t>Track in Core.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style="37" min="1" max="1"/>
    <col width="45" customWidth="1" style="37" min="2" max="2"/>
    <col width="65" customWidth="1" style="37" min="3" max="3"/>
    <col width="14" customWidth="1" style="37" min="4" max="4"/>
  </cols>
  <sheetData>
    <row r="1">
      <c r="A1" s="55" t="inlineStr">
        <is>
          <t>Fun Collection</t>
        </is>
      </c>
      <c r="B1" s="26" t="inlineStr">
        <is>
          <t>What qualifies</t>
        </is>
      </c>
      <c r="C1" s="26" t="inlineStr">
        <is>
          <t>Examples in this family</t>
        </is>
      </c>
      <c r="D1" s="26" t="inlineStr">
        <is>
          <t>Core?</t>
        </is>
      </c>
    </row>
    <row r="2">
      <c r="A2" s="26" t="inlineStr">
        <is>
          <t>Asako Ito</t>
        </is>
      </c>
      <c r="B2" s="26" t="inlineStr">
        <is>
          <t>Cards illustrated by Asako Ito</t>
        </is>
      </c>
      <c r="C2" s="26" t="inlineStr">
        <is>
          <t>Azurill Cosmic Eclipse / Alter Genesis; Marill Burning Shadows / To Have Seen the Battle Rainbow</t>
        </is>
      </c>
      <c r="D2" s="26" t="inlineStr">
        <is>
          <t>Yes</t>
        </is>
      </c>
    </row>
    <row r="3">
      <c r="A3" s="26" t="inlineStr">
        <is>
          <t>Yuka Morii</t>
        </is>
      </c>
      <c r="B3" s="26" t="inlineStr">
        <is>
          <t>Clay-model art by Yuka Morii</t>
        </is>
      </c>
      <c r="C3" s="26" t="inlineStr">
        <is>
          <t>Light Azumarill</t>
        </is>
      </c>
      <c r="D3" s="26" t="inlineStr">
        <is>
          <t>Yes</t>
        </is>
      </c>
    </row>
    <row r="4">
      <c r="A4" s="26" t="inlineStr">
        <is>
          <t>McDonald's</t>
        </is>
      </c>
      <c r="B4" s="26" t="inlineStr">
        <is>
          <t>Official McDonald's TCG releases</t>
        </is>
      </c>
      <c r="C4" s="26" t="inlineStr">
        <is>
          <t>Marill McDonald's Pokémon-e Minimum Pack; Marill McDonald's Collection 2015 Confetti Holo</t>
        </is>
      </c>
      <c r="D4" s="26" t="inlineStr">
        <is>
          <t>Yes</t>
        </is>
      </c>
    </row>
    <row r="5">
      <c r="A5" s="26" t="inlineStr">
        <is>
          <t>Southern Islands</t>
        </is>
      </c>
      <c r="B5" s="26" t="inlineStr">
        <is>
          <t>Southern Islands special set</t>
        </is>
      </c>
      <c r="C5" s="26" t="inlineStr">
        <is>
          <t>Marill Southern Islands English + Japanese</t>
        </is>
      </c>
      <c r="D5" s="26" t="inlineStr">
        <is>
          <t>Yes</t>
        </is>
      </c>
    </row>
    <row r="6">
      <c r="A6" s="26" t="inlineStr">
        <is>
          <t>Airline promo</t>
        </is>
      </c>
      <c r="B6" s="26" t="inlineStr">
        <is>
          <t>Official airline distribution</t>
        </is>
      </c>
      <c r="C6" s="26" t="inlineStr">
        <is>
          <t>Marill ANA Japanese promo</t>
        </is>
      </c>
      <c r="D6" s="26" t="inlineStr">
        <is>
          <t>Yes</t>
        </is>
      </c>
    </row>
    <row r="7">
      <c r="A7" s="26" t="inlineStr">
        <is>
          <t>e-Reader</t>
        </is>
      </c>
      <c r="B7" s="26" t="inlineStr">
        <is>
          <t>e-Card/e-Reader era cards</t>
        </is>
      </c>
      <c r="C7" s="26" t="inlineStr">
        <is>
          <t>Expedition, Aquapolis, McDonald's Pokémon-e</t>
        </is>
      </c>
      <c r="D7" s="26" t="inlineStr">
        <is>
          <t>Yes</t>
        </is>
      </c>
    </row>
    <row r="8">
      <c r="A8" s="26" t="inlineStr">
        <is>
          <t>Light Pokémon</t>
        </is>
      </c>
      <c r="B8" s="26" t="inlineStr">
        <is>
          <t>Neo Destiny Light mechanic</t>
        </is>
      </c>
      <c r="C8" s="26" t="inlineStr">
        <is>
          <t>Light Azumarill</t>
        </is>
      </c>
      <c r="D8" s="26" t="inlineStr">
        <is>
          <t>Yes</t>
        </is>
      </c>
    </row>
    <row r="9">
      <c r="A9" s="26" t="inlineStr">
        <is>
          <t>Regional exclusives</t>
        </is>
      </c>
      <c r="B9" s="26" t="inlineStr">
        <is>
          <t>Unique Thai, Indonesian, Chinese, etc. releases</t>
        </is>
      </c>
      <c r="C9" s="26" t="inlineStr">
        <is>
          <t>Thai promos, Indonesian promos, Travel Special Pack, Stellar Crystal, etc.</t>
        </is>
      </c>
      <c r="D9" s="26" t="inlineStr">
        <is>
          <t>Yes</t>
        </is>
      </c>
    </row>
    <row r="10">
      <c r="A10" s="26" t="inlineStr">
        <is>
          <t>Stamped cards</t>
        </is>
      </c>
      <c r="B10" s="26" t="inlineStr">
        <is>
          <t>Official stamps that change the physical card</t>
        </is>
      </c>
      <c r="C10" s="26" t="inlineStr">
        <is>
          <t>Japanese Battle Academy Greninja-stamped Marill/Azumarill; Prize Pack variants</t>
        </is>
      </c>
      <c r="D10" s="26" t="inlineStr">
        <is>
          <t>Yes</t>
        </is>
      </c>
    </row>
    <row r="11">
      <c r="A11" s="26" t="inlineStr">
        <is>
          <t>Illustration / Art Rare</t>
        </is>
      </c>
      <c r="B11" s="26" t="inlineStr">
        <is>
          <t>Modern showcase artwork</t>
        </is>
      </c>
      <c r="C11" s="26" t="inlineStr">
        <is>
          <t>Marill PAL 204 / Snow Hazard 073; Marill ASC 232 / Start Deck 100 748</t>
        </is>
      </c>
      <c r="D11" s="26" t="inlineStr">
        <is>
          <t>Yes</t>
        </is>
      </c>
    </row>
    <row r="12">
      <c r="A12" s="26" t="inlineStr">
        <is>
          <t>Cameos</t>
        </is>
      </c>
      <c r="B12" s="26" t="inlineStr">
        <is>
          <t>Family appears in artwork of a differently named card</t>
        </is>
      </c>
      <c r="C12" s="26" t="inlineStr">
        <is>
          <t>Tracked separately on Cameos - Bonus</t>
        </is>
      </c>
      <c r="D12" s="26" t="inlineStr">
        <is>
          <t>Bonus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style="37" min="1" max="1"/>
    <col width="38" customWidth="1" style="37" min="2" max="2"/>
    <col width="70" customWidth="1" style="37" min="3" max="3"/>
  </cols>
  <sheetData>
    <row r="1">
      <c r="A1" s="55" t="inlineStr">
        <is>
          <t>Field</t>
        </is>
      </c>
      <c r="B1" s="26" t="inlineStr">
        <is>
          <t>Use in HTML tracker</t>
        </is>
      </c>
      <c r="C1" s="26" t="inlineStr">
        <is>
          <t>Notes</t>
        </is>
      </c>
    </row>
    <row r="2">
      <c r="A2" s="26" t="inlineStr">
        <is>
          <t>core_id</t>
        </is>
      </c>
      <c r="B2" s="26" t="inlineStr">
        <is>
          <t>Stable unique record key</t>
        </is>
      </c>
      <c r="C2" s="26" t="inlineStr">
        <is>
          <t>Use Core ID from Core Checklist.</t>
        </is>
      </c>
    </row>
    <row r="3">
      <c r="A3" s="26" t="inlineStr">
        <is>
          <t>species</t>
        </is>
      </c>
      <c r="B3" s="26" t="inlineStr">
        <is>
          <t>Main filter</t>
        </is>
      </c>
      <c r="C3" s="26" t="inlineStr">
        <is>
          <t>Azurill / Marill / Azumarill.</t>
        </is>
      </c>
    </row>
    <row r="4">
      <c r="A4" s="26" t="inlineStr">
        <is>
          <t>card_variant</t>
        </is>
      </c>
      <c r="B4" s="26" t="inlineStr">
        <is>
          <t>Display title</t>
        </is>
      </c>
      <c r="C4" s="26" t="inlineStr">
        <is>
          <t>Card / Variant.</t>
        </is>
      </c>
    </row>
    <row r="5">
      <c r="A5" s="26" t="inlineStr">
        <is>
          <t>language</t>
        </is>
      </c>
      <c r="B5" s="26" t="inlineStr">
        <is>
          <t>Language filter</t>
        </is>
      </c>
      <c r="C5" s="26" t="inlineStr">
        <is>
          <t>English / Japanese / Spanish plus unique regional languages.</t>
        </is>
      </c>
    </row>
    <row r="6">
      <c r="A6" s="26" t="inlineStr">
        <is>
          <t>region</t>
        </is>
      </c>
      <c r="B6" s="26" t="inlineStr">
        <is>
          <t>Region badge</t>
        </is>
      </c>
      <c r="C6" s="26" t="inlineStr">
        <is>
          <t>International / Japan / China / Thailand / Indonesia / US, etc.</t>
        </is>
      </c>
    </row>
    <row r="7">
      <c r="A7" s="26" t="inlineStr">
        <is>
          <t>product</t>
        </is>
      </c>
      <c r="B7" s="26" t="inlineStr">
        <is>
          <t>Set/product grouping</t>
        </is>
      </c>
      <c r="C7" s="26" t="inlineStr">
        <is>
          <t>Show under card artwork or release family.</t>
        </is>
      </c>
    </row>
    <row r="8">
      <c r="A8" s="26" t="inlineStr">
        <is>
          <t>card_number</t>
        </is>
      </c>
      <c r="B8" s="26" t="inlineStr">
        <is>
          <t>Search + identification</t>
        </is>
      </c>
      <c r="C8" s="26" t="inlineStr">
        <is>
          <t>Keep as text.</t>
        </is>
      </c>
    </row>
    <row r="9">
      <c r="A9" s="26" t="inlineStr">
        <is>
          <t>finish_target</t>
        </is>
      </c>
      <c r="B9" s="26" t="inlineStr">
        <is>
          <t>Variant requirements</t>
        </is>
      </c>
      <c r="C9" s="26" t="inlineStr">
        <is>
          <t>Do not assume reverse holo unless officially issued.</t>
        </is>
      </c>
    </row>
    <row r="10">
      <c r="A10" s="26" t="inlineStr">
        <is>
          <t>special_printing</t>
        </is>
      </c>
      <c r="B10" s="26" t="inlineStr">
        <is>
          <t>Badge</t>
        </is>
      </c>
      <c r="C10" s="26" t="inlineStr">
        <is>
          <t>Promo, stamped, deck exclusive, regional, etc.</t>
        </is>
      </c>
    </row>
    <row r="11">
      <c r="A11" s="26" t="inlineStr">
        <is>
          <t>fun_tags</t>
        </is>
      </c>
      <c r="B11" s="26" t="inlineStr">
        <is>
          <t>Mini-collection progress</t>
        </is>
      </c>
      <c r="C11" s="26" t="inlineStr">
        <is>
          <t>Asako Ito, McDonald's, Southern Islands, etc.</t>
        </is>
      </c>
    </row>
    <row r="12">
      <c r="A12" s="26" t="inlineStr">
        <is>
          <t>acquisition</t>
        </is>
      </c>
      <c r="B12" s="26" t="inlineStr">
        <is>
          <t>Buying help</t>
        </is>
      </c>
      <c r="C12" s="26" t="inlineStr">
        <is>
          <t>Show when user taps 'How do I get this?'.</t>
        </is>
      </c>
    </row>
    <row r="13">
      <c r="A13" s="26" t="inlineStr">
        <is>
          <t>search_terms</t>
        </is>
      </c>
      <c r="B13" s="26" t="inlineStr">
        <is>
          <t>Copy button</t>
        </is>
      </c>
      <c r="C13" s="26" t="inlineStr">
        <is>
          <t>Pasteable search query.</t>
        </is>
      </c>
    </row>
    <row r="14">
      <c r="A14" s="26" t="inlineStr">
        <is>
          <t>difficulty</t>
        </is>
      </c>
      <c r="B14" s="26" t="inlineStr">
        <is>
          <t>Planning filter</t>
        </is>
      </c>
      <c r="C14" s="26" t="inlineStr">
        <is>
          <t>Easy / Medium / Hard / Very Hard.</t>
        </is>
      </c>
    </row>
    <row r="15">
      <c r="A15" s="26" t="inlineStr">
        <is>
          <t>status</t>
        </is>
      </c>
      <c r="B15" s="26" t="inlineStr">
        <is>
          <t>User-editable</t>
        </is>
      </c>
      <c r="C15" s="26" t="inlineStr">
        <is>
          <t>NEED / OWNED / ORDERED / VERIFY / SKIP.</t>
        </is>
      </c>
    </row>
    <row r="16">
      <c r="A16" s="26" t="inlineStr">
        <is>
          <t>price_paid</t>
        </is>
      </c>
      <c r="B16" s="26" t="inlineStr">
        <is>
          <t>User-editable</t>
        </is>
      </c>
      <c r="C16" s="26" t="inlineStr">
        <is>
          <t>Currency.</t>
        </is>
      </c>
    </row>
    <row r="17">
      <c r="A17" s="26" t="inlineStr">
        <is>
          <t>notes</t>
        </is>
      </c>
      <c r="B17" s="26" t="inlineStr">
        <is>
          <t>User-editable</t>
        </is>
      </c>
      <c r="C17" s="26" t="inlineStr">
        <is>
          <t>Free text.</t>
        </is>
      </c>
    </row>
    <row r="18">
      <c r="A18" s="26" t="inlineStr">
        <is>
          <t>source_url</t>
        </is>
      </c>
      <c r="B18" s="26" t="inlineStr">
        <is>
          <t>Research audit</t>
        </is>
      </c>
      <c r="C18" s="26" t="inlineStr">
        <is>
          <t>Clickable source.</t>
        </is>
      </c>
    </row>
    <row r="19">
      <c r="A19" s="26" t="inlineStr">
        <is>
          <t>collection_rule</t>
        </is>
      </c>
      <c r="B19" s="26" t="inlineStr">
        <is>
          <t>Core completion logic</t>
        </is>
      </c>
      <c r="C19" s="26" t="inlineStr">
        <is>
          <t>English + Japanese + Spanish required; other languages only when physically unique. Cameos separate.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4" customWidth="1" style="37" min="1" max="1"/>
    <col width="55" customWidth="1" style="37" min="2" max="2"/>
    <col width="28" customWidth="1" style="37" min="3" max="3"/>
    <col width="14" customWidth="1" style="37" min="4" max="4"/>
    <col width="62" customWidth="1" style="37" min="5" max="5"/>
    <col width="18" customWidth="1" style="37" min="6" max="6"/>
    <col width="42" customWidth="1" style="37" min="7" max="7"/>
    <col width="48" customWidth="1" style="37" min="8" max="8"/>
  </cols>
  <sheetData>
    <row r="1">
      <c r="A1" s="77" t="inlineStr">
        <is>
          <t>Item</t>
        </is>
      </c>
      <c r="B1" s="77" t="inlineStr">
        <is>
          <t>Finding</t>
        </is>
      </c>
      <c r="C1" s="77" t="inlineStr">
        <is>
          <t>Action</t>
        </is>
      </c>
      <c r="D1" s="77" t="inlineStr">
        <is>
          <t>Status</t>
        </is>
      </c>
      <c r="E1" s="77" t="inlineStr">
        <is>
          <t>Evidence / Source</t>
        </is>
      </c>
      <c r="F1" s="77" t="inlineStr">
        <is>
          <t>Impact</t>
        </is>
      </c>
      <c r="G1" s="77" t="inlineStr">
        <is>
          <t>Next Research</t>
        </is>
      </c>
      <c r="H1" s="77" t="inlineStr">
        <is>
          <t>App Handling</t>
        </is>
      </c>
    </row>
    <row r="2">
      <c r="A2" s="41" t="inlineStr">
        <is>
          <t>Spanish EX Sandstorm Azurill 31/100</t>
        </is>
      </c>
      <c r="B2" s="41" t="inlineStr">
        <is>
          <t>No official Spanish EX Sandstorm printing found; card page lists German/French/Italian/Japanese, and set page says EX Sandstorm released in English/French/German/Italian.</t>
        </is>
      </c>
      <c r="C2" s="41" t="inlineStr">
        <is>
          <t>Removed from Core</t>
        </is>
      </c>
      <c r="D2" s="41" t="inlineStr">
        <is>
          <t>VERIFIED</t>
        </is>
      </c>
      <c r="E2" s="41" t="inlineStr">
        <is>
          <t>https://bulbapedia.bulbagarden.net/wiki/Azurill_(EX_Sandstorm_31); https://bulbapedia.bulbagarden.net/wiki/EX_Sandstorm</t>
        </is>
      </c>
      <c r="F2" s="41" t="inlineStr">
        <is>
          <t>Core -1</t>
        </is>
      </c>
      <c r="G2" s="41" t="inlineStr">
        <is>
          <t>None</t>
        </is>
      </c>
      <c r="H2" s="41" t="inlineStr">
        <is>
          <t>Do not import.</t>
        </is>
      </c>
    </row>
    <row r="3">
      <c r="A3" s="41" t="inlineStr">
        <is>
          <t>Spanish EX Sandstorm Marill 68/100</t>
        </is>
      </c>
      <c r="B3" s="41" t="inlineStr">
        <is>
          <t>No official Spanish EX Sandstorm printing found.</t>
        </is>
      </c>
      <c r="C3" s="41" t="inlineStr">
        <is>
          <t>Removed from Core</t>
        </is>
      </c>
      <c r="D3" s="41" t="inlineStr">
        <is>
          <t>VERIFIED</t>
        </is>
      </c>
      <c r="E3" s="41" t="inlineStr">
        <is>
          <t>https://bulbapedia.bulbagarden.net/wiki/Marill_(EX_Sandstorm_68); https://bulbapedia.bulbagarden.net/wiki/EX_Sandstorm</t>
        </is>
      </c>
      <c r="F3" s="41" t="inlineStr">
        <is>
          <t>Core -1</t>
        </is>
      </c>
      <c r="G3" s="41" t="inlineStr">
        <is>
          <t>None</t>
        </is>
      </c>
      <c r="H3" s="41" t="inlineStr">
        <is>
          <t>Do not import.</t>
        </is>
      </c>
    </row>
    <row r="4">
      <c r="A4" s="41" t="inlineStr">
        <is>
          <t>Spanish EX Sandstorm Azumarill 30/100</t>
        </is>
      </c>
      <c r="B4" s="41" t="inlineStr">
        <is>
          <t>Card page lists Spanish, but the EX Sandstorm set-language page conflicts and says the set was English/French/German/Italian only.</t>
        </is>
      </c>
      <c r="C4" s="41" t="inlineStr">
        <is>
          <t>Removed pending reconciliation</t>
        </is>
      </c>
      <c r="D4" s="41" t="inlineStr">
        <is>
          <t>CONFLICT</t>
        </is>
      </c>
      <c r="E4" s="41" t="inlineStr">
        <is>
          <t>https://bulbapedia.bulbagarden.net/wiki/Azumarill_(EX_Sandstorm_30); https://bulbapedia.bulbagarden.net/wiki/EX_Sandstorm</t>
        </is>
      </c>
      <c r="F4" s="41" t="inlineStr">
        <is>
          <t>Core -1 for now</t>
        </is>
      </c>
      <c r="G4" s="41" t="inlineStr">
        <is>
          <t>Check Cardmarket/Spanish scans before restoring</t>
        </is>
      </c>
      <c r="H4" s="41" t="inlineStr">
        <is>
          <t>Keep out of required count until physical copy is verified.</t>
        </is>
      </c>
    </row>
    <row r="5">
      <c r="A5" s="41" t="inlineStr">
        <is>
          <t>Azurill EX Delta Species 20/113 Spanish</t>
        </is>
      </c>
      <c r="B5" s="41" t="inlineStr">
        <is>
          <t>Card-specific page explicitly lists Español.</t>
        </is>
      </c>
      <c r="C5" s="41" t="inlineStr">
        <is>
          <t>Keep in Core</t>
        </is>
      </c>
      <c r="D5" s="41" t="inlineStr">
        <is>
          <t>VERIFIED</t>
        </is>
      </c>
      <c r="E5" s="41" t="inlineStr">
        <is>
          <t>https://bulbapedia.bulbagarden.net/wiki/Azurill_(EX_Delta_Species_20)</t>
        </is>
      </c>
      <c r="F5" s="41" t="inlineStr">
        <is>
          <t>No change</t>
        </is>
      </c>
      <c r="G5" s="41" t="inlineStr">
        <is>
          <t>Verify finishes separately</t>
        </is>
      </c>
      <c r="H5" s="41" t="inlineStr">
        <is>
          <t>Regular/reverse should become separate rows once finish audit is complete.</t>
        </is>
      </c>
    </row>
    <row r="6">
      <c r="A6" s="41" t="inlineStr">
        <is>
          <t>Azurill Diamond &amp; Pearl 69/130 Spanish</t>
        </is>
      </c>
      <c r="B6" s="41" t="inlineStr">
        <is>
          <t>Card-specific page explicitly lists Español.</t>
        </is>
      </c>
      <c r="C6" s="41" t="inlineStr">
        <is>
          <t>Keep in Core</t>
        </is>
      </c>
      <c r="D6" s="41" t="inlineStr">
        <is>
          <t>VERIFIED</t>
        </is>
      </c>
      <c r="E6" s="41" t="inlineStr">
        <is>
          <t>https://bulbapedia.bulbagarden.net/wiki/Azurill_(Diamond_%26_Pearl_69)</t>
        </is>
      </c>
      <c r="F6" s="41" t="inlineStr">
        <is>
          <t>No change</t>
        </is>
      </c>
      <c r="G6" s="41" t="inlineStr">
        <is>
          <t>Verify finishes separately</t>
        </is>
      </c>
      <c r="H6" s="41" t="inlineStr">
        <is>
          <t>Do not collapse regular/reverse if both exist.</t>
        </is>
      </c>
    </row>
    <row r="7">
      <c r="A7" s="41" t="inlineStr">
        <is>
          <t>Azurill Cosmic Eclipse 146/236 Spanish</t>
        </is>
      </c>
      <c r="B7" s="41" t="inlineStr">
        <is>
          <t>Card-specific page explicitly lists Español.</t>
        </is>
      </c>
      <c r="C7" s="41" t="inlineStr">
        <is>
          <t>Keep in Core</t>
        </is>
      </c>
      <c r="D7" s="41" t="inlineStr">
        <is>
          <t>VERIFIED</t>
        </is>
      </c>
      <c r="E7" s="41" t="inlineStr">
        <is>
          <t>https://bulbapedia.bulbagarden.net/wiki/Azurill_(Cosmic_Eclipse_146)</t>
        </is>
      </c>
      <c r="F7" s="41" t="inlineStr">
        <is>
          <t>No change</t>
        </is>
      </c>
      <c r="G7" s="41" t="inlineStr">
        <is>
          <t>Verify regular/reverse physical printings</t>
        </is>
      </c>
      <c r="H7" s="41" t="inlineStr">
        <is>
          <t>Asako Ito special-collection tag stays.</t>
        </is>
      </c>
    </row>
    <row r="8">
      <c r="A8" s="41" t="inlineStr">
        <is>
          <t>Marill Neo Genesis 66/111 Spanish</t>
        </is>
      </c>
      <c r="B8" s="41" t="inlineStr">
        <is>
          <t>Card-specific page explicitly lists Español.</t>
        </is>
      </c>
      <c r="C8" s="41" t="inlineStr">
        <is>
          <t>Keep in Core</t>
        </is>
      </c>
      <c r="D8" s="41" t="inlineStr">
        <is>
          <t>VERIFIED</t>
        </is>
      </c>
      <c r="E8" s="41" t="inlineStr">
        <is>
          <t>https://bulbapedia.bulbagarden.net/wiki/Marill_(Neo_Genesis_66)</t>
        </is>
      </c>
      <c r="F8" s="41" t="inlineStr">
        <is>
          <t>No change</t>
        </is>
      </c>
      <c r="G8" s="41" t="inlineStr">
        <is>
          <t>Check 1st Edition/unlimited by language</t>
        </is>
      </c>
      <c r="H8" s="41" t="inlineStr">
        <is>
          <t>Separate meaningful printings.</t>
        </is>
      </c>
    </row>
    <row r="9">
      <c r="A9" s="41" t="inlineStr">
        <is>
          <t>Marill Expedition 120/165 Spanish</t>
        </is>
      </c>
      <c r="B9" s="41" t="inlineStr">
        <is>
          <t>Card-specific page explicitly lists Español.</t>
        </is>
      </c>
      <c r="C9" s="41" t="inlineStr">
        <is>
          <t>Keep in Core</t>
        </is>
      </c>
      <c r="D9" s="41" t="inlineStr">
        <is>
          <t>VERIFIED</t>
        </is>
      </c>
      <c r="E9" s="41" t="inlineStr">
        <is>
          <t>https://bulbapedia.bulbagarden.net/wiki/Marill_(Expedition_120)</t>
        </is>
      </c>
      <c r="F9" s="41" t="inlineStr">
        <is>
          <t>No change</t>
        </is>
      </c>
      <c r="G9" s="41" t="inlineStr">
        <is>
          <t>Verify reverse holo</t>
        </is>
      </c>
      <c r="H9" s="41" t="inlineStr">
        <is>
          <t>Separate physical finishes.</t>
        </is>
      </c>
    </row>
    <row r="10">
      <c r="A10" s="41" t="inlineStr">
        <is>
          <t>Marill Aquapolis 53/147 Spanish</t>
        </is>
      </c>
      <c r="B10" s="41" t="inlineStr">
        <is>
          <t>Card-specific page explicitly lists Español.</t>
        </is>
      </c>
      <c r="C10" s="41" t="inlineStr">
        <is>
          <t>Keep in Core</t>
        </is>
      </c>
      <c r="D10" s="41" t="inlineStr">
        <is>
          <t>VERIFIED</t>
        </is>
      </c>
      <c r="E10" s="41" t="inlineStr">
        <is>
          <t>https://bulbapedia.bulbagarden.net/wiki/Marill_(Aquapolis_53)</t>
        </is>
      </c>
      <c r="F10" s="41" t="inlineStr">
        <is>
          <t>No change</t>
        </is>
      </c>
      <c r="G10" s="41" t="inlineStr">
        <is>
          <t>Verify reverse holo</t>
        </is>
      </c>
      <c r="H10" s="41" t="inlineStr">
        <is>
          <t>Separate physical finishes.</t>
        </is>
      </c>
    </row>
    <row r="11">
      <c r="A11" s="41" t="inlineStr">
        <is>
          <t>Marill EX Team Rocket Returns 68/109 Spanish</t>
        </is>
      </c>
      <c r="B11" s="41" t="inlineStr">
        <is>
          <t>Card-specific page explicitly lists Español.</t>
        </is>
      </c>
      <c r="C11" s="41" t="inlineStr">
        <is>
          <t>Keep in Core</t>
        </is>
      </c>
      <c r="D11" s="41" t="inlineStr">
        <is>
          <t>VERIFIED</t>
        </is>
      </c>
      <c r="E11" s="41" t="inlineStr">
        <is>
          <t>https://bulbapedia.bulbagarden.net/wiki/Marill_(EX_Team_Rocket_Returns_68)</t>
        </is>
      </c>
      <c r="F11" s="41" t="inlineStr">
        <is>
          <t>No change</t>
        </is>
      </c>
      <c r="G11" s="41" t="inlineStr">
        <is>
          <t>Verify stamped reverse treatment</t>
        </is>
      </c>
      <c r="H11" s="41" t="inlineStr">
        <is>
          <t>Separate physical finishes.</t>
        </is>
      </c>
    </row>
    <row r="12">
      <c r="A12" s="41" t="inlineStr">
        <is>
          <t>Azumarill Neo Genesis 2/111 Spanish</t>
        </is>
      </c>
      <c r="B12" s="41" t="inlineStr">
        <is>
          <t>Card-specific page explicitly lists Español.</t>
        </is>
      </c>
      <c r="C12" s="41" t="inlineStr">
        <is>
          <t>Keep in Core</t>
        </is>
      </c>
      <c r="D12" s="41" t="inlineStr">
        <is>
          <t>VERIFIED</t>
        </is>
      </c>
      <c r="E12" s="41" t="inlineStr">
        <is>
          <t>https://bulbapedia.bulbagarden.net/wiki/Azumarill_(Neo_Genesis_2)</t>
        </is>
      </c>
      <c r="F12" s="41" t="inlineStr">
        <is>
          <t>No change</t>
        </is>
      </c>
      <c r="G12" s="41" t="inlineStr">
        <is>
          <t>Check 1st Edition/unlimited by language</t>
        </is>
      </c>
      <c r="H12" s="41" t="inlineStr">
        <is>
          <t>Separate meaningful printings.</t>
        </is>
      </c>
    </row>
    <row r="13">
      <c r="A13" s="41" t="inlineStr">
        <is>
          <t>Azumarill Aquapolis H4/H32 + 4/147 Spanish</t>
        </is>
      </c>
      <c r="B13" s="41" t="inlineStr">
        <is>
          <t>Card-specific page explicitly lists Español and confirms holo/non-holo are distinct numbered prints.</t>
        </is>
      </c>
      <c r="C13" s="41" t="inlineStr">
        <is>
          <t>Keep both Core records</t>
        </is>
      </c>
      <c r="D13" s="41" t="inlineStr">
        <is>
          <t>VERIFIED</t>
        </is>
      </c>
      <c r="E13" s="41" t="inlineStr">
        <is>
          <t>https://bulbapedia.bulbagarden.net/wiki/Azumarill_(Aquapolis_H4)</t>
        </is>
      </c>
      <c r="F13" s="41" t="inlineStr">
        <is>
          <t>No change</t>
        </is>
      </c>
      <c r="G13" s="41" t="inlineStr">
        <is>
          <t>Verify reverse variants where applicable</t>
        </is>
      </c>
      <c r="H13" s="41" t="inlineStr">
        <is>
          <t>H4 and 4/147 must never be merged.</t>
        </is>
      </c>
    </row>
    <row r="14">
      <c r="A14" s="41" t="inlineStr">
        <is>
          <t>Light Azumarill Neo Destiny 13/105 Spanish</t>
        </is>
      </c>
      <c r="B14" s="41" t="inlineStr">
        <is>
          <t>Card-specific page explicitly lists Español.</t>
        </is>
      </c>
      <c r="C14" s="41" t="inlineStr">
        <is>
          <t>Keep in Core</t>
        </is>
      </c>
      <c r="D14" s="41" t="inlineStr">
        <is>
          <t>VERIFIED</t>
        </is>
      </c>
      <c r="E14" s="41" t="inlineStr">
        <is>
          <t>https://bulbapedia.bulbagarden.net/wiki/Light_Azumarill_(Neo_Destiny_13)</t>
        </is>
      </c>
      <c r="F14" s="41" t="inlineStr">
        <is>
          <t>No change</t>
        </is>
      </c>
      <c r="G14" s="41" t="inlineStr">
        <is>
          <t>Verify Spanish edition/printing distinctions</t>
        </is>
      </c>
      <c r="H14" s="41" t="inlineStr">
        <is>
          <t>Yuka Morii / Light Pokémon tag stays.</t>
        </is>
      </c>
    </row>
    <row r="15">
      <c r="A15" t="inlineStr">
        <is>
          <t>Marill EX Team Rocket Returns Japanese number</t>
        </is>
      </c>
      <c r="B15" t="inlineStr">
        <is>
          <t>Prior workbook used 023/084; current card-specific source identifies Marill as 024/084.</t>
        </is>
      </c>
      <c r="C15" t="inlineStr">
        <is>
          <t>Correct Japanese number to 024/084</t>
        </is>
      </c>
      <c r="D15" t="inlineStr">
        <is>
          <t>VERIFIED</t>
        </is>
      </c>
      <c r="E15" t="inlineStr">
        <is>
          <t>https://bulbapedia.bulbagarden.net/wiki/Marill_(EX_Team_Rocket_Returns_68)</t>
        </is>
      </c>
      <c r="F15" t="inlineStr">
        <is>
          <t>Corrects identifier</t>
        </is>
      </c>
      <c r="G15" t="inlineStr">
        <is>
          <t>Patch Core row</t>
        </is>
      </c>
      <c r="H15" t="inlineStr">
        <is>
          <t>App should use 024/084.</t>
        </is>
      </c>
    </row>
    <row r="16">
      <c r="A16" t="inlineStr">
        <is>
          <t>Azumarill EX Team Rocket Returns James Theme Deck</t>
        </is>
      </c>
      <c r="B16" t="inlineStr">
        <is>
          <t>English 1/109 has a documented Non-Holo James Theme Deck exclusive in addition to set/reverse treatments.</t>
        </is>
      </c>
      <c r="C16" t="inlineStr">
        <is>
          <t>Add separate physical target in final split</t>
        </is>
      </c>
      <c r="D16" t="inlineStr">
        <is>
          <t>VERIFIED</t>
        </is>
      </c>
      <c r="E16" t="inlineStr">
        <is>
          <t>https://bulbapedia.bulbagarden.net/wiki/EX_Team_Rocket_Returns</t>
        </is>
      </c>
      <c r="F16" t="inlineStr">
        <is>
          <t>Core +1 beyond normal finish split</t>
        </is>
      </c>
      <c r="G16" t="inlineStr">
        <is>
          <t>None</t>
        </is>
      </c>
      <c r="H16" t="inlineStr">
        <is>
          <t>Do not merge with holo/reverse.</t>
        </is>
      </c>
    </row>
    <row r="17">
      <c r="A17" t="inlineStr">
        <is>
          <t>Light Azumarill Spanish</t>
        </is>
      </c>
      <c r="B17" t="inlineStr">
        <is>
          <t>Card page lists Spanish, but Neo Destiny set page omits Spanish entirely.</t>
        </is>
      </c>
      <c r="C17" t="inlineStr">
        <is>
          <t>Remove from trusted Core pending physical evidence</t>
        </is>
      </c>
      <c r="D17" t="inlineStr">
        <is>
          <t>CONFLICT</t>
        </is>
      </c>
      <c r="E17" t="inlineStr">
        <is>
          <t>https://bulbapedia.bulbagarden.net/wiki/Light_Azumarill_(Neo_Destiny_13); https://bulbapedia.bulbagarden.net/wiki/Neo_Destiny</t>
        </is>
      </c>
      <c r="F17" t="inlineStr">
        <is>
          <t>Potential Core -1</t>
        </is>
      </c>
      <c r="G17" t="inlineStr">
        <is>
          <t>Verify scan/market listing</t>
        </is>
      </c>
      <c r="H17" t="inlineStr">
        <is>
          <t>Keep VERIFY, not NEED.</t>
        </is>
      </c>
    </row>
    <row r="18">
      <c r="A18" t="inlineStr">
        <is>
          <t>Bulbapedia language tabs</t>
        </is>
      </c>
      <c r="B18" t="inlineStr">
        <is>
          <t>Earlier audit treated Español/other wiki-language tabs on individual card pages as proof of physical card language.</t>
        </is>
      </c>
      <c r="C18" t="inlineStr">
        <is>
          <t>Rule corrected</t>
        </is>
      </c>
      <c r="D18" t="inlineStr">
        <is>
          <t>VERIFIED</t>
        </is>
      </c>
      <c r="E18" t="inlineStr">
        <is>
          <t>https://bulbapedia.bulbagarden.net/wiki/List_of_Pok%C3%A9mon_Trading_Card_Game_expansions_in_other_languages</t>
        </is>
      </c>
      <c r="F18" t="inlineStr">
        <is>
          <t>Removes false Spanish requirements</t>
        </is>
      </c>
      <c r="G18" t="inlineStr">
        <is>
          <t>Use set-level language tables and physical release evidence</t>
        </is>
      </c>
      <c r="H18" t="inlineStr">
        <is>
          <t>Do not infer print language from wiki translation tabs.</t>
        </is>
      </c>
    </row>
    <row r="19">
      <c r="A19" t="inlineStr">
        <is>
          <t>Pre-DP Spanish release rule</t>
        </is>
      </c>
      <c r="B19" t="inlineStr">
        <is>
          <t>Before Diamond &amp; Pearl, Spain received only selected expansions; among this family's relevant sets, Neo Genesis is the only confirmed Spanish pre-DP expansion represented in Core.</t>
        </is>
      </c>
      <c r="C19" t="inlineStr">
        <is>
          <t>Removed 11 additional false Spanish rows</t>
        </is>
      </c>
      <c r="D19" t="inlineStr">
        <is>
          <t>VERIFIED</t>
        </is>
      </c>
      <c r="E19" t="inlineStr">
        <is>
          <t>https://bulbapedia.bulbagarden.net/wiki/Pok%C3%A9mon_in_Spain; https://bulbapedia.bulbagarden.net/wiki/List_of_Pok%C3%A9mon_Trading_Card_Game_expansions_in_other_languages</t>
        </is>
      </c>
      <c r="F19" t="inlineStr">
        <is>
          <t>Core count reduced</t>
        </is>
      </c>
      <c r="G19" t="inlineStr">
        <is>
          <t>None for removed rows</t>
        </is>
      </c>
      <c r="H19" t="inlineStr">
        <is>
          <t>Keep Spanish Neo Genesis; remove Spanish WOTC promo/Southern Islands/e-Card/EX Delta/Team Rocket Returns/Neo Destiny.</t>
        </is>
      </c>
    </row>
    <row r="20">
      <c r="A20" t="inlineStr">
        <is>
          <t>Expedition Spanish</t>
        </is>
      </c>
      <c r="B20" t="inlineStr">
        <is>
          <t>Expedition released in English/German/French/Italian only.</t>
        </is>
      </c>
      <c r="C20" t="inlineStr">
        <is>
          <t>Removed Spanish Marill Expedition</t>
        </is>
      </c>
      <c r="D20" t="inlineStr">
        <is>
          <t>VERIFIED</t>
        </is>
      </c>
      <c r="E20" t="inlineStr">
        <is>
          <t>https://bulbapedia.bulbagarden.net/wiki/Expedition_Base_Set_(TCG)</t>
        </is>
      </c>
      <c r="F20" t="inlineStr">
        <is>
          <t>Core -1</t>
        </is>
      </c>
      <c r="G20" t="inlineStr">
        <is>
          <t>None</t>
        </is>
      </c>
      <c r="H20" t="inlineStr">
        <is>
          <t>No Spanish target.</t>
        </is>
      </c>
    </row>
    <row r="21">
      <c r="A21" t="inlineStr">
        <is>
          <t>Aquapolis Spanish</t>
        </is>
      </c>
      <c r="B21" t="inlineStr">
        <is>
          <t>Aquapolis released in English/German/French/Italian only.</t>
        </is>
      </c>
      <c r="C21" t="inlineStr">
        <is>
          <t>Removed Spanish Marill and Azumarill Aquapolis rows</t>
        </is>
      </c>
      <c r="D21" t="inlineStr">
        <is>
          <t>VERIFIED</t>
        </is>
      </c>
      <c r="E21" t="inlineStr">
        <is>
          <t>https://bulbapedia.bulbagarden.net/wiki/Aquapolis_(TCG)</t>
        </is>
      </c>
      <c r="F21" t="inlineStr">
        <is>
          <t>Core -3</t>
        </is>
      </c>
      <c r="G21" t="inlineStr">
        <is>
          <t>None</t>
        </is>
      </c>
      <c r="H21" t="inlineStr">
        <is>
          <t>No Spanish targets.</t>
        </is>
      </c>
    </row>
    <row r="22">
      <c r="A22" t="inlineStr">
        <is>
          <t>EX Team Rocket Returns Spanish</t>
        </is>
      </c>
      <c r="B22" t="inlineStr">
        <is>
          <t>International set released only in English and Brazilian Portuguese.</t>
        </is>
      </c>
      <c r="C22" t="inlineStr">
        <is>
          <t>Removed Spanish Marill/Azumarill rows</t>
        </is>
      </c>
      <c r="D22" t="inlineStr">
        <is>
          <t>VERIFIED</t>
        </is>
      </c>
      <c r="E22" t="inlineStr">
        <is>
          <t>https://bulbapedia.bulbagarden.net/wiki/EX_Team_Rocket_Returns_(TCG)</t>
        </is>
      </c>
      <c r="F22" t="inlineStr">
        <is>
          <t>Core -2</t>
        </is>
      </c>
      <c r="G22" t="inlineStr">
        <is>
          <t>None</t>
        </is>
      </c>
      <c r="H22" t="inlineStr">
        <is>
          <t>No Spanish targets.</t>
        </is>
      </c>
    </row>
    <row r="23">
      <c r="A23" t="inlineStr">
        <is>
          <t>EX Delta Species Spanish</t>
        </is>
      </c>
      <c r="B23" t="inlineStr">
        <is>
          <t>International set released in English/German/French/Italian only.</t>
        </is>
      </c>
      <c r="C23" t="inlineStr">
        <is>
          <t>Removed Spanish Azurill/Marill/Azumarill rows</t>
        </is>
      </c>
      <c r="D23" t="inlineStr">
        <is>
          <t>VERIFIED</t>
        </is>
      </c>
      <c r="E23" t="inlineStr">
        <is>
          <t>https://bulbapedia.bulbagarden.net/wiki/EX_Delta_Species_(TCG)</t>
        </is>
      </c>
      <c r="F23" t="inlineStr">
        <is>
          <t>Core -4</t>
        </is>
      </c>
      <c r="G23" t="inlineStr">
        <is>
          <t>None</t>
        </is>
      </c>
      <c r="H23" t="inlineStr">
        <is>
          <t>No Spanish targets.</t>
        </is>
      </c>
    </row>
    <row r="24">
      <c r="A24" t="inlineStr">
        <is>
          <t>Diamond &amp; Pearl Spanish finish rule</t>
        </is>
      </c>
      <c r="B24" t="inlineStr">
        <is>
          <t>Spanish Diamond &amp; Pearl exists but had no reverse holo parallel.</t>
        </is>
      </c>
      <c r="C24" t="inlineStr">
        <is>
          <t>Keep standard Spanish only</t>
        </is>
      </c>
      <c r="D24" t="inlineStr">
        <is>
          <t>VERIFIED</t>
        </is>
      </c>
      <c r="E24" t="inlineStr">
        <is>
          <t>https://bulbapedia.bulbagarden.net/wiki/Diamond_%26_Pearl_(TCG)</t>
        </is>
      </c>
      <c r="F24" t="inlineStr">
        <is>
          <t>Prevents fake reverse targets</t>
        </is>
      </c>
      <c r="G24" t="inlineStr">
        <is>
          <t>None</t>
        </is>
      </c>
      <c r="H24" t="inlineStr">
        <is>
          <t>Do not add Spanish reverse holos for this set.</t>
        </is>
      </c>
    </row>
    <row r="25">
      <c r="A25" t="inlineStr">
        <is>
          <t>HeartGold &amp; SoulSilver Spanish finish rule</t>
        </is>
      </c>
      <c r="B25" t="inlineStr">
        <is>
          <t>Spanish HGSS exists and did have reverse-holo cards.</t>
        </is>
      </c>
      <c r="C25" t="inlineStr">
        <is>
          <t>Split Spanish Marill/Azumarill later</t>
        </is>
      </c>
      <c r="D25" t="inlineStr">
        <is>
          <t>VERIFIED</t>
        </is>
      </c>
      <c r="E25" t="inlineStr">
        <is>
          <t>https://bulbapedia.bulbagarden.net/wiki/HeartGold_%26_SoulSilver_(TCG)</t>
        </is>
      </c>
      <c r="F25" t="inlineStr">
        <is>
          <t>Will increase final physical count</t>
        </is>
      </c>
      <c r="G25" t="inlineStr">
        <is>
          <t>Split in final physical-row build</t>
        </is>
      </c>
      <c r="H25" t="inlineStr">
        <is>
          <t>Spanish regular/holo + reverse both count.</t>
        </is>
      </c>
    </row>
    <row r="26">
      <c r="A26" t="inlineStr">
        <is>
          <t>Boundaries Crossed Spanish</t>
        </is>
      </c>
      <c r="B26" t="inlineStr">
        <is>
          <t>Spanish release is confirmed and Spanish cards had reverse-holo counterparts.</t>
        </is>
      </c>
      <c r="C26" t="inlineStr">
        <is>
          <t>Keep Spanish + split regular/reverse</t>
        </is>
      </c>
      <c r="D26" t="inlineStr">
        <is>
          <t>VERIFIED</t>
        </is>
      </c>
      <c r="E26" t="inlineStr">
        <is>
          <t>https://bulbapedia.bulbagarden.net/wiki/Boundaries_Crossed_(TCG)</t>
        </is>
      </c>
      <c r="F26" t="inlineStr">
        <is>
          <t>Raises final physical count</t>
        </is>
      </c>
      <c r="G26" t="inlineStr">
        <is>
          <t>Split during physical-row build</t>
        </is>
      </c>
      <c r="H26" t="inlineStr">
        <is>
          <t>No additional language cleanup needed.</t>
        </is>
      </c>
    </row>
    <row r="27">
      <c r="A27" t="inlineStr">
        <is>
          <t>Primal Clash Spanish</t>
        </is>
      </c>
      <c r="B27" t="inlineStr">
        <is>
          <t>Spanish release is confirmed; Spanish cards had reverse-holo counterparts.</t>
        </is>
      </c>
      <c r="C27" t="inlineStr">
        <is>
          <t>Keep Spanish + split regular/reverse</t>
        </is>
      </c>
      <c r="D27" t="inlineStr">
        <is>
          <t>VERIFIED</t>
        </is>
      </c>
      <c r="E27" t="inlineStr">
        <is>
          <t>https://bulbapedia.bulbagarden.net/wiki/Primal_Clash_(TCG)</t>
        </is>
      </c>
      <c r="F27" t="inlineStr">
        <is>
          <t>Raises final physical count</t>
        </is>
      </c>
      <c r="G27" t="inlineStr">
        <is>
          <t>Split during physical-row build</t>
        </is>
      </c>
      <c r="H27" t="inlineStr">
        <is>
          <t>Marill McDonald's Confetti Holo remains a separate special target.</t>
        </is>
      </c>
    </row>
    <row r="28">
      <c r="A28" t="inlineStr">
        <is>
          <t>Steam Siege Spanish</t>
        </is>
      </c>
      <c r="B28" t="inlineStr">
        <is>
          <t>Spanish release is confirmed; Spanish cards had reverse-holo counterparts.</t>
        </is>
      </c>
      <c r="C28" t="inlineStr">
        <is>
          <t>Keep Spanish + split regular/reverse</t>
        </is>
      </c>
      <c r="D28" t="inlineStr">
        <is>
          <t>VERIFIED</t>
        </is>
      </c>
      <c r="E28" t="inlineStr">
        <is>
          <t>https://bulbapedia.bulbagarden.net/wiki/Steam_Siege_(TCG)</t>
        </is>
      </c>
      <c r="F28" t="inlineStr">
        <is>
          <t>Raises final physical count</t>
        </is>
      </c>
      <c r="G28" t="inlineStr">
        <is>
          <t>Split during physical-row build</t>
        </is>
      </c>
      <c r="H28" t="inlineStr">
        <is>
          <t>Japanese Cruel Traitor has 1st + Unlimited.</t>
        </is>
      </c>
    </row>
    <row r="29">
      <c r="A29" t="inlineStr">
        <is>
          <t>Burning Shadows Spanish</t>
        </is>
      </c>
      <c r="B29" t="inlineStr">
        <is>
          <t>Spanish release is confirmed and all international-language cards had reverse-holo versions.</t>
        </is>
      </c>
      <c r="C29" t="inlineStr">
        <is>
          <t>Keep Spanish + split regular/reverse</t>
        </is>
      </c>
      <c r="D29" t="inlineStr">
        <is>
          <t>VERIFIED</t>
        </is>
      </c>
      <c r="E29" t="inlineStr">
        <is>
          <t>https://bulbapedia.bulbagarden.net/wiki/Burning_Shadows_(TCG)</t>
        </is>
      </c>
      <c r="F29" t="inlineStr">
        <is>
          <t>Raises final physical count</t>
        </is>
      </c>
      <c r="G29" t="inlineStr">
        <is>
          <t>Split Asako Ito Marill regular/reverse separately</t>
        </is>
      </c>
      <c r="H29" t="inlineStr">
        <is>
          <t>Japanese counterpart is Unlimited only.</t>
        </is>
      </c>
    </row>
    <row r="30">
      <c r="A30" t="inlineStr">
        <is>
          <t>Lost Thunder Spanish</t>
        </is>
      </c>
      <c r="B30" t="inlineStr">
        <is>
          <t>Spanish release is confirmed and Spanish cards had reverse-holo versions.</t>
        </is>
      </c>
      <c r="C30" t="inlineStr">
        <is>
          <t>Keep Spanish + split regular/reverse</t>
        </is>
      </c>
      <c r="D30" t="inlineStr">
        <is>
          <t>VERIFIED</t>
        </is>
      </c>
      <c r="E30" t="inlineStr">
        <is>
          <t>https://bulbapedia.bulbagarden.net/wiki/Lost_Thunder_(TCG)</t>
        </is>
      </c>
      <c r="F30" t="inlineStr">
        <is>
          <t>Raises final physical count</t>
        </is>
      </c>
      <c r="G30" t="inlineStr">
        <is>
          <t>Split during physical-row build</t>
        </is>
      </c>
      <c r="H30" t="inlineStr">
        <is>
          <t>Japanese counterpart is Unlimited only.</t>
        </is>
      </c>
    </row>
    <row r="31">
      <c r="A31" t="inlineStr">
        <is>
          <t>Fusion Strike family</t>
        </is>
      </c>
      <c r="B31" t="inlineStr">
        <is>
          <t>English/Spanish Fusion Strike cards have reverse-holo counterparts; Japanese Eevee Heroes is unlimited-only.</t>
        </is>
      </c>
      <c r="C31" t="inlineStr">
        <is>
          <t>Finish rules verified</t>
        </is>
      </c>
      <c r="D31" t="inlineStr">
        <is>
          <t>VERIFIED</t>
        </is>
      </c>
      <c r="E31" t="inlineStr">
        <is>
          <t>https://bulbapedia.bulbagarden.net/wiki/Fusion_Strike_(TCG)</t>
        </is>
      </c>
      <c r="F31" t="inlineStr">
        <is>
          <t>Final count will rise</t>
        </is>
      </c>
      <c r="G31" t="inlineStr">
        <is>
          <t>Split English/Spanish rows later</t>
        </is>
      </c>
      <c r="H31" t="inlineStr">
        <is>
          <t>Marill also has separate Start Deck 100 088/414.</t>
        </is>
      </c>
    </row>
    <row r="32">
      <c r="A32" t="inlineStr">
        <is>
          <t>Battle Academy Marill/Azumarill</t>
        </is>
      </c>
      <c r="B32" t="inlineStr">
        <is>
          <t>Japanese 013/066 and 014/066 are explicitly Greninja stamped.</t>
        </is>
      </c>
      <c r="C32" t="inlineStr">
        <is>
          <t>Keep separate stamped targets</t>
        </is>
      </c>
      <c r="D32" t="inlineStr">
        <is>
          <t>VERIFIED</t>
        </is>
      </c>
      <c r="E32" t="inlineStr">
        <is>
          <t>https://bulbapedia.bulbagarden.net/wiki/Marill_(Stellar_Crown_33); https://bulbapedia.bulbagarden.net/wiki/Azumarill_(Stellar_Crown_34)</t>
        </is>
      </c>
      <c r="F32" t="inlineStr">
        <is>
          <t>No cleanup</t>
        </is>
      </c>
      <c r="G32" t="inlineStr">
        <is>
          <t>None</t>
        </is>
      </c>
      <c r="H32" t="inlineStr">
        <is>
          <t>Do not merge with English Stellar Crown.</t>
        </is>
      </c>
    </row>
    <row r="33">
      <c r="A33" t="inlineStr">
        <is>
          <t>Surging Sparks Japanese products</t>
        </is>
      </c>
      <c r="B33" t="inlineStr">
        <is>
          <t>Stellar Tera deck printings and Start Deck 100 Battle Collection reprints have distinct Japanese card numbers.</t>
        </is>
      </c>
      <c r="C33" t="inlineStr">
        <is>
          <t>Keep all numbered products separate</t>
        </is>
      </c>
      <c r="D33" t="inlineStr">
        <is>
          <t>VERIFIED</t>
        </is>
      </c>
      <c r="E33" t="inlineStr">
        <is>
          <t>https://bulbapedia.bulbagarden.net/wiki/Marill_(Surging_Sparks_73); https://bulbapedia.bulbagarden.net/wiki/Azumarill_(Surging_Sparks_74)</t>
        </is>
      </c>
      <c r="F33" t="inlineStr">
        <is>
          <t>Adds meaningful product variants</t>
        </is>
      </c>
      <c r="G33" t="inlineStr">
        <is>
          <t>None</t>
        </is>
      </c>
      <c r="H33" t="inlineStr">
        <is>
          <t>Exact numbered singles are preferred.</t>
        </is>
      </c>
    </row>
    <row r="34">
      <c r="A34" t="inlineStr">
        <is>
          <t>Ascended Heroes Marill Spanish</t>
        </is>
      </c>
      <c r="B34" t="inlineStr">
        <is>
          <t>Current Marill card record does not show Spanish, unlike Azumarill ex.</t>
        </is>
      </c>
      <c r="C34" t="inlineStr">
        <is>
          <t>Do not count Spanish Marill yet</t>
        </is>
      </c>
      <c r="D34" t="inlineStr">
        <is>
          <t>CONFLICT</t>
        </is>
      </c>
      <c r="E34" t="inlineStr">
        <is>
          <t>https://bulbapedia.bulbagarden.net/wiki/Marill_(Ascended_Heroes_83); https://bulbapedia.bulbagarden.net/wiki/Azumarill_ex_(Ascended_Heroes_84)</t>
        </is>
      </c>
      <c r="F34" t="inlineStr">
        <is>
          <t>Potential Core reduction</t>
        </is>
      </c>
      <c r="G34" t="inlineStr">
        <is>
          <t>Recheck official checklist/physical scan</t>
        </is>
      </c>
      <c r="H34" t="inlineStr">
        <is>
          <t>Avoid buying a presumed Spanish copy.</t>
        </is>
      </c>
    </row>
    <row r="35">
      <c r="A35" t="inlineStr">
        <is>
          <t>McDonald's Collection 2015 language</t>
        </is>
      </c>
      <c r="B35" t="inlineStr">
        <is>
          <t>Official 2015 set was released in English and French only.</t>
        </is>
      </c>
      <c r="C35" t="inlineStr">
        <is>
          <t>Removed Spanish Marill 10/12</t>
        </is>
      </c>
      <c r="D35" t="inlineStr">
        <is>
          <t>VERIFIED</t>
        </is>
      </c>
      <c r="E35" t="inlineStr">
        <is>
          <t>https://bulbapedia.bulbagarden.net/wiki/McDonald%27s_Collection_2015_(TCG)</t>
        </is>
      </c>
      <c r="F35" t="inlineStr">
        <is>
          <t>Core -1</t>
        </is>
      </c>
      <c r="G35" t="inlineStr">
        <is>
          <t>French stays optional Global Extra</t>
        </is>
      </c>
      <c r="H35" t="inlineStr">
        <is>
          <t>Do not create a Spanish 10/12 target.</t>
        </is>
      </c>
    </row>
    <row r="36">
      <c r="A36" t="inlineStr">
        <is>
          <t>Marill promo lineage</t>
        </is>
      </c>
      <c r="B36" t="inlineStr">
        <is>
          <t>Wizards Promo 29, Japanese CoroCoro unnumbered, and Pokémon Web 010/048 are physically distinct layouts/releases.</t>
        </is>
      </c>
      <c r="C36" t="inlineStr">
        <is>
          <t>Keep all three</t>
        </is>
      </c>
      <c r="D36" t="inlineStr">
        <is>
          <t>VERIFIED</t>
        </is>
      </c>
      <c r="E36" t="inlineStr">
        <is>
          <t>https://bulbapedia.bulbagarden.net/wiki/Marill_(Wizards_Promo_29)</t>
        </is>
      </c>
      <c r="F36" t="inlineStr">
        <is>
          <t>No change</t>
        </is>
      </c>
      <c r="G36" t="inlineStr">
        <is>
          <t>None</t>
        </is>
      </c>
      <c r="H36" t="inlineStr">
        <is>
          <t>Use separate stable IDs.</t>
        </is>
      </c>
    </row>
    <row r="37">
      <c r="A37" t="inlineStr">
        <is>
          <t>ANA Marill</t>
        </is>
      </c>
      <c r="B37" t="inlineStr">
        <is>
          <t>Unnumbered Japanese ANA special 2000 promo confirmed.</t>
        </is>
      </c>
      <c r="C37" t="inlineStr">
        <is>
          <t>Keep Core</t>
        </is>
      </c>
      <c r="D37" t="inlineStr">
        <is>
          <t>VERIFIED</t>
        </is>
      </c>
      <c r="E37" t="inlineStr">
        <is>
          <t>https://bulbapedia.bulbagarden.net/wiki/Marill_(ANA_promo)</t>
        </is>
      </c>
      <c r="F37" t="inlineStr">
        <is>
          <t>No change</t>
        </is>
      </c>
      <c r="G37" t="inlineStr">
        <is>
          <t>None</t>
        </is>
      </c>
      <c r="H37" t="inlineStr">
        <is>
          <t>High-interest fun promo.</t>
        </is>
      </c>
    </row>
    <row r="38">
      <c r="A38" t="inlineStr">
        <is>
          <t>Southern Islands Marill</t>
        </is>
      </c>
      <c r="B38" t="inlineStr">
        <is>
          <t>English 11/18 and Japanese unnumbered Sea print are distinct; Japanese is unlimited-only.</t>
        </is>
      </c>
      <c r="C38" t="inlineStr">
        <is>
          <t>Keep both</t>
        </is>
      </c>
      <c r="D38" t="inlineStr">
        <is>
          <t>VERIFIED</t>
        </is>
      </c>
      <c r="E38" t="inlineStr">
        <is>
          <t>https://bulbapedia.bulbagarden.net/wiki/Southern_Islands_(TCG)</t>
        </is>
      </c>
      <c r="F38" t="inlineStr">
        <is>
          <t>No change</t>
        </is>
      </c>
      <c r="G38" t="inlineStr">
        <is>
          <t>None</t>
        </is>
      </c>
      <c r="H38" t="inlineStr">
        <is>
          <t>Do not add Spanish Southern Islands.</t>
        </is>
      </c>
    </row>
    <row r="39">
      <c r="A39" t="inlineStr">
        <is>
          <t>Prize Pack Azumarill</t>
        </is>
      </c>
      <c r="B39" t="inlineStr">
        <is>
          <t>Azumarill SSP 074 is confirmed in Play! Pokémon Prize Pack Series Seven.</t>
        </is>
      </c>
      <c r="C39" t="inlineStr">
        <is>
          <t>Keep separate stamped/special target</t>
        </is>
      </c>
      <c r="D39" t="inlineStr">
        <is>
          <t>VERIFIED</t>
        </is>
      </c>
      <c r="E39" t="inlineStr">
        <is>
          <t>https://www.tcgplayer.com/categories/trading-and-collectible-card-games/pokemon/price-guides/prize-pack-series-cards</t>
        </is>
      </c>
      <c r="F39" t="inlineStr">
        <is>
          <t>No change</t>
        </is>
      </c>
      <c r="G39" t="inlineStr">
        <is>
          <t>Check exact foil/stamp descriptor when final physical rows are built</t>
        </is>
      </c>
      <c r="H39" t="inlineStr">
        <is>
          <t>Buy single.</t>
        </is>
      </c>
    </row>
    <row r="40">
      <c r="A40" t="inlineStr">
        <is>
          <t>Duplicate release rows</t>
        </is>
      </c>
      <c r="B40" t="inlineStr">
        <is>
          <t>Old Core contained duplicate Battle Academy rows for Marill/Azumarill.</t>
        </is>
      </c>
      <c r="C40" t="inlineStr">
        <is>
          <t>Removed exact duplicates</t>
        </is>
      </c>
      <c r="D40" t="inlineStr">
        <is>
          <t>VERIFIED</t>
        </is>
      </c>
      <c r="E40" t="inlineStr">
        <is>
          <t>Internal workbook audit</t>
        </is>
      </c>
      <c r="F40" t="inlineStr">
        <is>
          <t>Core -0</t>
        </is>
      </c>
      <c r="G40" t="inlineStr">
        <is>
          <t>None</t>
        </is>
      </c>
      <c r="H40" t="inlineStr">
        <is>
          <t>Final physical dataset must enforce unique StableKey.</t>
        </is>
      </c>
    </row>
    <row r="41">
      <c r="A41" t="inlineStr">
        <is>
          <t>Physical-card conversion</t>
        </is>
      </c>
      <c r="B41" t="inlineStr">
        <is>
          <t>Converted 163 release-level rows into individual finish/edition/product targets.</t>
        </is>
      </c>
      <c r="C41" t="inlineStr">
        <is>
          <t>251 required + 2 VERIFY physical targets</t>
        </is>
      </c>
      <c r="D41" t="inlineStr">
        <is>
          <t>VERIFIED</t>
        </is>
      </c>
      <c r="E41" t="inlineStr">
        <is>
          <t>See Physical Conversion sheet and row-level Source URL fields</t>
        </is>
      </c>
      <c r="F41" t="inlineStr">
        <is>
          <t>Core now measures actual physical targets</t>
        </is>
      </c>
      <c r="G41" t="inlineStr">
        <is>
          <t>Run final gap/duplicate audit</t>
        </is>
      </c>
      <c r="H41" t="inlineStr">
        <is>
          <t>Do not freeze IDs until next pass.</t>
        </is>
      </c>
    </row>
    <row r="42">
      <c r="A42" t="inlineStr">
        <is>
          <t>EX-era microvariants</t>
        </is>
      </c>
      <c r="B42" t="inlineStr">
        <is>
          <t>EX Sandstorm includes code variants, and Marill 68/100 has a documented no-retreat-cost early error.</t>
        </is>
      </c>
      <c r="C42" t="inlineStr">
        <is>
          <t>Excluded from Level-3 Core; treat as optional oddities</t>
        </is>
      </c>
      <c r="D42" t="inlineStr">
        <is>
          <t>VERIFIED</t>
        </is>
      </c>
      <c r="E42" t="inlineStr">
        <is>
          <t>https://bulbapedia.bulbagarden.net/wiki/EX_Sandstorm_(TCG); https://bulbapedia.bulbagarden.net/wiki/Marill_(EX_Sandstorm_68)</t>
        </is>
      </c>
      <c r="F42" t="inlineStr">
        <is>
          <t>Prevents collection from exploding into obscure manufacturing microvariants</t>
        </is>
      </c>
      <c r="G42" t="inlineStr">
        <is>
          <t>Optional Bonus Oddities later</t>
        </is>
      </c>
      <c r="H42" t="inlineStr">
        <is>
          <t>Does not block 100%.</t>
        </is>
      </c>
    </row>
    <row r="43">
      <c r="A43" t="inlineStr">
        <is>
          <t>Final gap audit</t>
        </is>
      </c>
      <c r="B43" t="inlineStr">
        <is>
          <t>Species catalogs and current 2026 releases rechecked after physical conversion.</t>
        </is>
      </c>
      <c r="C43" t="inlineStr">
        <is>
          <t>Dataset adjusted; no unresolved VERIFY rows remain</t>
        </is>
      </c>
      <c r="D43" t="inlineStr">
        <is>
          <t>VERIFIED</t>
        </is>
      </c>
      <c r="E43" t="inlineStr">
        <is>
          <t>See Final Gap Audit sheet</t>
        </is>
      </c>
      <c r="F43" t="inlineStr">
        <is>
          <t>Physical count changed</t>
        </is>
      </c>
      <c r="G43" t="inlineStr">
        <is>
          <t>One cleanup/handoff pass remains</t>
        </is>
      </c>
      <c r="H43" t="inlineStr">
        <is>
          <t>IDs may now be frozen after cleanup.</t>
        </is>
      </c>
    </row>
    <row r="44">
      <c r="A44" t="inlineStr">
        <is>
          <t>Ascended Heroes Marill</t>
        </is>
      </c>
      <c r="B44" t="inlineStr">
        <is>
          <t>Spanish set confirmed; 083/217 has regular + Psychic Energy mirror + Friend Ball mirror.</t>
        </is>
      </c>
      <c r="C44" t="inlineStr">
        <is>
          <t>Require all three finishes in English and Spanish</t>
        </is>
      </c>
      <c r="D44" t="inlineStr">
        <is>
          <t>VERIFIED</t>
        </is>
      </c>
      <c r="E44" t="inlineStr">
        <is>
          <t>https://bulbapedia.bulbagarden.net/wiki/Ascended_Heroes_(TCG); https://bulbapedia.bulbagarden.net/wiki/Marill_(Ascended_Heroes_83)</t>
        </is>
      </c>
      <c r="F44" t="inlineStr">
        <is>
          <t>+6 total Marill 083 targets across EN/ES</t>
        </is>
      </c>
      <c r="G44" t="inlineStr">
        <is>
          <t>None</t>
        </is>
      </c>
      <c r="H44" t="inlineStr">
        <is>
          <t>Do not use ordinary reverse-holo label.</t>
        </is>
      </c>
    </row>
    <row r="45">
      <c r="A45" t="inlineStr">
        <is>
          <t>Storm Emeralda Azurill</t>
        </is>
      </c>
      <c r="B45" t="inlineStr">
        <is>
          <t>Japanese set released July 31, 2026; Azurill has regular 054/076 and IR 086/076.</t>
        </is>
      </c>
      <c r="C45" t="inlineStr">
        <is>
          <t>Add IR</t>
        </is>
      </c>
      <c r="D45" t="inlineStr">
        <is>
          <t>VERIFIED</t>
        </is>
      </c>
      <c r="E45" t="inlineStr">
        <is>
          <t>https://www.pokemon-card.com/ex/m6/; https://bulbapedia.bulbagarden.net/wiki/Azurill_(Storm_Emeralda_54)</t>
        </is>
      </c>
      <c r="F45" t="inlineStr">
        <is>
          <t>+1</t>
        </is>
      </c>
      <c r="G45" t="inlineStr">
        <is>
          <t>None</t>
        </is>
      </c>
      <c r="H45" t="inlineStr">
        <is>
          <t>English Delta Reign is future as of 2026-08-10, so not Core yet.</t>
        </is>
      </c>
    </row>
    <row r="46">
      <c r="A46" t="inlineStr">
        <is>
          <t>Dataset freeze</t>
        </is>
      </c>
      <c r="B46" t="inlineStr">
        <is>
          <t>Final audited physical dataset frozen at 257 required cards with zero VERIFY and zero duplicate StableKeys.</t>
        </is>
      </c>
      <c r="C46" t="inlineStr">
        <is>
          <t>Freeze AZF-001..AZF-257</t>
        </is>
      </c>
      <c r="D46" t="inlineStr">
        <is>
          <t>VERIFIED</t>
        </is>
      </c>
      <c r="E46" t="inlineStr">
        <is>
          <t>Internal final audit through 2026-08-10</t>
        </is>
      </c>
      <c r="F46" t="inlineStr">
        <is>
          <t>Tracker denominator fixed at 257</t>
        </is>
      </c>
      <c r="G46" t="inlineStr">
        <is>
          <t>Append future releases without renumbering</t>
        </is>
      </c>
      <c r="H46" t="inlineStr">
        <is>
          <t>Core Checklist is now the source of truth.</t>
        </is>
      </c>
    </row>
  </sheetData>
  <conditionalFormatting sqref="D2:D14">
    <cfRule type="expression" priority="1" dxfId="0">
      <formula>D2="VERIFIED"</formula>
    </cfRule>
    <cfRule type="expression" priority="2" dxfId="2">
      <formula>D2="CONFLICT"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6" customWidth="1" style="37" min="1" max="1"/>
    <col width="18" customWidth="1" style="37" min="2" max="2"/>
    <col width="36" customWidth="1" style="37" min="3" max="3"/>
    <col width="14" customWidth="1" style="37" min="4" max="4"/>
    <col width="46" customWidth="1" style="37" min="5" max="5"/>
    <col width="40" customWidth="1" style="37" min="6" max="6"/>
    <col width="14" customWidth="1" style="37" min="7" max="7"/>
    <col width="62" customWidth="1" style="37" min="8" max="8"/>
    <col width="45" customWidth="1" style="37" min="9" max="9"/>
    <col width="58" customWidth="1" style="37" min="10" max="10"/>
  </cols>
  <sheetData>
    <row r="1">
      <c r="A1" s="84" t="inlineStr">
        <is>
          <t>Era</t>
        </is>
      </c>
      <c r="B1" s="84" t="inlineStr">
        <is>
          <t>Species</t>
        </is>
      </c>
      <c r="C1" s="84" t="inlineStr">
        <is>
          <t>Card / Set</t>
        </is>
      </c>
      <c r="D1" s="84" t="inlineStr">
        <is>
          <t>Language</t>
        </is>
      </c>
      <c r="E1" s="84" t="inlineStr">
        <is>
          <t>Verified Physical Targets</t>
        </is>
      </c>
      <c r="F1" s="84" t="inlineStr">
        <is>
          <t>Core Action</t>
        </is>
      </c>
      <c r="G1" s="84" t="inlineStr">
        <is>
          <t>Status</t>
        </is>
      </c>
      <c r="H1" s="84" t="inlineStr">
        <is>
          <t>Evidence / Source</t>
        </is>
      </c>
      <c r="I1" s="84" t="inlineStr">
        <is>
          <t>Acquisition Note</t>
        </is>
      </c>
      <c r="J1" s="84" t="inlineStr">
        <is>
          <t>Research Note</t>
        </is>
      </c>
    </row>
    <row r="2">
      <c r="A2" s="26" t="inlineStr">
        <is>
          <t>e-Card</t>
        </is>
      </c>
      <c r="B2" s="26" t="inlineStr">
        <is>
          <t>Marill</t>
        </is>
      </c>
      <c r="C2" s="26" t="inlineStr">
        <is>
          <t>Expedition Base Set 120/165</t>
        </is>
      </c>
      <c r="D2" s="26" t="inlineStr">
        <is>
          <t>English</t>
        </is>
      </c>
      <c r="E2" s="26" t="inlineStr">
        <is>
          <t>Standard + Reverse Holo</t>
        </is>
      </c>
      <c r="F2" s="26" t="inlineStr">
        <is>
          <t>Split into 2 physical rows</t>
        </is>
      </c>
      <c r="G2" s="26" t="inlineStr">
        <is>
          <t>VERIFIED</t>
        </is>
      </c>
      <c r="H2" s="26" t="inlineStr">
        <is>
          <t>https://bulbapedia.bulbagarden.net/wiki/Expedition_Base_Set_(TCG)</t>
        </is>
      </c>
      <c r="I2" s="26" t="inlineStr">
        <is>
          <t>Buy both as singles; sealed Expedition is unnecessary.</t>
        </is>
      </c>
      <c r="J2" s="26" t="inlineStr">
        <is>
          <t>All non-Energy Expedition cards have reverse-holo counterparts. No Spanish edition exists.</t>
        </is>
      </c>
    </row>
    <row r="3">
      <c r="A3" s="26" t="inlineStr">
        <is>
          <t>e-Card</t>
        </is>
      </c>
      <c r="B3" s="26" t="inlineStr">
        <is>
          <t>Marill</t>
        </is>
      </c>
      <c r="C3" s="26" t="inlineStr">
        <is>
          <t>Base Expansion Pack 013/128</t>
        </is>
      </c>
      <c r="D3" s="26" t="inlineStr">
        <is>
          <t>Japanese</t>
        </is>
      </c>
      <c r="E3" s="26" t="inlineStr">
        <is>
          <t>1st Edition standard</t>
        </is>
      </c>
      <c r="F3" s="26" t="inlineStr">
        <is>
          <t>Keep 1 row</t>
        </is>
      </c>
      <c r="G3" s="26" t="inlineStr">
        <is>
          <t>VERIFIED</t>
        </is>
      </c>
      <c r="H3" s="26" t="inlineStr">
        <is>
          <t>https://bulbapedia.bulbagarden.net/wiki/Expedition_Base_Set_(TCG)</t>
        </is>
      </c>
      <c r="I3" s="26" t="inlineStr">
        <is>
          <t>Buy Japanese single; verify edition mark in photos.</t>
        </is>
      </c>
      <c r="J3" s="26" t="inlineStr">
        <is>
          <t>Japanese Base Expansion Pack was primarily 1st Edition; no general reverse-holo parallel like English Expedition.</t>
        </is>
      </c>
    </row>
    <row r="4">
      <c r="A4" s="26" t="inlineStr">
        <is>
          <t>e-Card</t>
        </is>
      </c>
      <c r="B4" s="26" t="inlineStr">
        <is>
          <t>Marill</t>
        </is>
      </c>
      <c r="C4" s="26" t="inlineStr">
        <is>
          <t>Aquapolis 53/147</t>
        </is>
      </c>
      <c r="D4" s="26" t="inlineStr">
        <is>
          <t>English</t>
        </is>
      </c>
      <c r="E4" s="26" t="inlineStr">
        <is>
          <t>Standard + Reverse Holo</t>
        </is>
      </c>
      <c r="F4" s="26" t="inlineStr">
        <is>
          <t>Split into 2 physical rows</t>
        </is>
      </c>
      <c r="G4" s="26" t="inlineStr">
        <is>
          <t>VERIFIED</t>
        </is>
      </c>
      <c r="H4" s="26" t="inlineStr">
        <is>
          <t>https://bulbapedia.bulbagarden.net/wiki/Aquapolis_(TCG)</t>
        </is>
      </c>
      <c r="I4" s="26" t="inlineStr">
        <is>
          <t>Buy standard and reverse separately.</t>
        </is>
      </c>
      <c r="J4" s="26" t="inlineStr">
        <is>
          <t>Aquapolis non-H/32 non-secret cards have reverse-holo versions. No Spanish edition exists.</t>
        </is>
      </c>
    </row>
    <row r="5">
      <c r="A5" s="26" t="inlineStr">
        <is>
          <t>e-Card</t>
        </is>
      </c>
      <c r="B5" s="26" t="inlineStr">
        <is>
          <t>Azumarill</t>
        </is>
      </c>
      <c r="C5" s="26" t="inlineStr">
        <is>
          <t>Aquapolis H4/H32</t>
        </is>
      </c>
      <c r="D5" s="26" t="inlineStr">
        <is>
          <t>English</t>
        </is>
      </c>
      <c r="E5" s="26" t="inlineStr">
        <is>
          <t>Holo only</t>
        </is>
      </c>
      <c r="F5" s="26" t="inlineStr">
        <is>
          <t>Keep 1 row</t>
        </is>
      </c>
      <c r="G5" s="26" t="inlineStr">
        <is>
          <t>VERIFIED</t>
        </is>
      </c>
      <c r="H5" s="26" t="inlineStr">
        <is>
          <t>https://bulbapedia.bulbagarden.net/wiki/Aquapolis_(TCG)</t>
        </is>
      </c>
      <c r="I5" s="26" t="inlineStr">
        <is>
          <t>Buy H4/H32 as a single.</t>
        </is>
      </c>
      <c r="J5" s="26" t="inlineStr">
        <is>
          <t>H/32 holo cards are excluded from Aquapolis reverse-holo parallel.</t>
        </is>
      </c>
    </row>
    <row r="6">
      <c r="A6" s="26" t="inlineStr">
        <is>
          <t>e-Card</t>
        </is>
      </c>
      <c r="B6" s="26" t="inlineStr">
        <is>
          <t>Azumarill</t>
        </is>
      </c>
      <c r="C6" s="26" t="inlineStr">
        <is>
          <t>Aquapolis 4/147</t>
        </is>
      </c>
      <c r="D6" s="26" t="inlineStr">
        <is>
          <t>English</t>
        </is>
      </c>
      <c r="E6" s="26" t="inlineStr">
        <is>
          <t>Standard + Reverse Holo</t>
        </is>
      </c>
      <c r="F6" s="26" t="inlineStr">
        <is>
          <t>Split into 2 physical rows</t>
        </is>
      </c>
      <c r="G6" s="26" t="inlineStr">
        <is>
          <t>VERIFIED</t>
        </is>
      </c>
      <c r="H6" s="26" t="inlineStr">
        <is>
          <t>https://bulbapedia.bulbagarden.net/wiki/Aquapolis_(TCG)</t>
        </is>
      </c>
      <c r="I6" s="26" t="inlineStr">
        <is>
          <t>Buy both numbered 4/147 finishes separately.</t>
        </is>
      </c>
      <c r="J6" s="26" t="inlineStr">
        <is>
          <t>4/147 is distinct from H4/H32 and also has a reverse-holo counterpart.</t>
        </is>
      </c>
    </row>
    <row r="7">
      <c r="A7" s="26" t="inlineStr">
        <is>
          <t>e-Card</t>
        </is>
      </c>
      <c r="B7" s="26" t="inlineStr">
        <is>
          <t>Marill/Azumarill</t>
        </is>
      </c>
      <c r="C7" s="26" t="inlineStr">
        <is>
          <t>The Town on No Map Japanese counterparts</t>
        </is>
      </c>
      <c r="D7" s="26" t="inlineStr">
        <is>
          <t>Japanese</t>
        </is>
      </c>
      <c r="E7" s="26" t="inlineStr">
        <is>
          <t>1st Edition + Unlimited Edition</t>
        </is>
      </c>
      <c r="F7" s="26" t="inlineStr">
        <is>
          <t>Split each Japanese counterpart by edition</t>
        </is>
      </c>
      <c r="G7" s="26" t="inlineStr">
        <is>
          <t>VERIFIED</t>
        </is>
      </c>
      <c r="H7" s="26" t="inlineStr">
        <is>
          <t>https://bulbapedia.bulbagarden.net/wiki/Aquapolis_(TCG)</t>
        </is>
      </c>
      <c r="I7" s="26" t="inlineStr">
        <is>
          <t>Use Japanese marketplace/eBay and inspect edition mark carefully.</t>
        </is>
      </c>
      <c r="J7" s="26" t="inlineStr">
        <is>
          <t>The Town on No Map and Wind from the Sea were released in both 1st and Unlimited.</t>
        </is>
      </c>
    </row>
    <row r="8">
      <c r="A8" s="26" t="inlineStr">
        <is>
          <t>EX</t>
        </is>
      </c>
      <c r="B8" s="26" t="inlineStr">
        <is>
          <t>Azurill</t>
        </is>
      </c>
      <c r="C8" s="26" t="inlineStr">
        <is>
          <t>EX Delta Species 20/113</t>
        </is>
      </c>
      <c r="D8" s="26" t="inlineStr">
        <is>
          <t>English</t>
        </is>
      </c>
      <c r="E8" s="26" t="inlineStr">
        <is>
          <t>Standard + Reverse Holo</t>
        </is>
      </c>
      <c r="F8" s="26" t="inlineStr">
        <is>
          <t>Split into 2 physical rows</t>
        </is>
      </c>
      <c r="G8" s="26" t="inlineStr">
        <is>
          <t>VERIFIED</t>
        </is>
      </c>
      <c r="H8" s="26" t="inlineStr">
        <is>
          <t>https://bulbapedia.bulbagarden.net/wiki/EX_Delta_Species_(TCG)</t>
        </is>
      </c>
      <c r="I8" s="26" t="inlineStr">
        <is>
          <t>Buy both as singles.</t>
        </is>
      </c>
      <c r="J8" s="26" t="inlineStr">
        <is>
          <t>EX Delta Species released in English/German/French/Italian only; Spanish row removed.</t>
        </is>
      </c>
    </row>
    <row r="9">
      <c r="A9" s="26" t="inlineStr">
        <is>
          <t>EX</t>
        </is>
      </c>
      <c r="B9" s="26" t="inlineStr">
        <is>
          <t>Marill</t>
        </is>
      </c>
      <c r="C9" s="26" t="inlineStr">
        <is>
          <t>EX Delta Species 76/113</t>
        </is>
      </c>
      <c r="D9" s="26" t="inlineStr">
        <is>
          <t>English</t>
        </is>
      </c>
      <c r="E9" s="26" t="inlineStr">
        <is>
          <t>Standard + Reverse Holo</t>
        </is>
      </c>
      <c r="F9" s="26" t="inlineStr">
        <is>
          <t>Split into 2 physical rows</t>
        </is>
      </c>
      <c r="G9" s="26" t="inlineStr">
        <is>
          <t>VERIFIED</t>
        </is>
      </c>
      <c r="H9" s="26" t="inlineStr">
        <is>
          <t>https://bulbapedia.bulbagarden.net/wiki/EX_Delta_Species_(TCG)</t>
        </is>
      </c>
      <c r="I9" s="26" t="inlineStr">
        <is>
          <t>Buy standard and stamped reverse separately.</t>
        </is>
      </c>
      <c r="J9" s="26" t="inlineStr">
        <is>
          <t>Reverse EX-era cards carry the expansion treatment; Spanish row removed.</t>
        </is>
      </c>
    </row>
    <row r="10">
      <c r="A10" s="26" t="inlineStr">
        <is>
          <t>EX</t>
        </is>
      </c>
      <c r="B10" s="26" t="inlineStr">
        <is>
          <t>Azumarill δ</t>
        </is>
      </c>
      <c r="C10" s="26" t="inlineStr">
        <is>
          <t>EX Delta Species 19/113</t>
        </is>
      </c>
      <c r="D10" s="26" t="inlineStr">
        <is>
          <t>English</t>
        </is>
      </c>
      <c r="E10" s="26" t="inlineStr">
        <is>
          <t>Holo + Reverse Holo</t>
        </is>
      </c>
      <c r="F10" s="26" t="inlineStr">
        <is>
          <t>Split into 2 physical rows</t>
        </is>
      </c>
      <c r="G10" s="26" t="inlineStr">
        <is>
          <t>VERIFIED</t>
        </is>
      </c>
      <c r="H10" s="26" t="inlineStr">
        <is>
          <t>https://bulbapedia.bulbagarden.net/wiki/EX_Delta_Species_(TCG)</t>
        </is>
      </c>
      <c r="I10" s="26" t="inlineStr">
        <is>
          <t>Buy holo and reverse separately.</t>
        </is>
      </c>
      <c r="J10" s="26" t="inlineStr">
        <is>
          <t>Rare Holo Delta Species cards have a distinct reverse treatment.</t>
        </is>
      </c>
    </row>
    <row r="11">
      <c r="A11" s="26" t="inlineStr">
        <is>
          <t>EX</t>
        </is>
      </c>
      <c r="B11" s="26" t="inlineStr">
        <is>
          <t>Azumarill</t>
        </is>
      </c>
      <c r="C11" s="26" t="inlineStr">
        <is>
          <t>EX Delta Species 114/113</t>
        </is>
      </c>
      <c r="D11" s="26" t="inlineStr">
        <is>
          <t>English</t>
        </is>
      </c>
      <c r="E11" s="26" t="inlineStr">
        <is>
          <t>Secret Box Topper only</t>
        </is>
      </c>
      <c r="F11" s="26" t="inlineStr">
        <is>
          <t>Keep as distinct special row</t>
        </is>
      </c>
      <c r="G11" s="26" t="inlineStr">
        <is>
          <t>VERIFIED</t>
        </is>
      </c>
      <c r="H11" s="26" t="inlineStr">
        <is>
          <t>https://bulbapedia.bulbagarden.net/wiki/EX_Delta_Species_(TCG)</t>
        </is>
      </c>
      <c r="I11" s="26" t="inlineStr">
        <is>
          <t>Buy the single box topper; do not chase sealed booster boxes.</t>
        </is>
      </c>
      <c r="J11" s="26" t="inlineStr">
        <is>
          <t>Secret card is a special release; no Spanish printing.</t>
        </is>
      </c>
    </row>
    <row r="12">
      <c r="A12" s="26" t="inlineStr">
        <is>
          <t>EX</t>
        </is>
      </c>
      <c r="B12" s="26" t="inlineStr">
        <is>
          <t>Azurill/Marill/Azumarill</t>
        </is>
      </c>
      <c r="C12" s="26" t="inlineStr">
        <is>
          <t>Holon Research Tower counterparts</t>
        </is>
      </c>
      <c r="D12" s="26" t="inlineStr">
        <is>
          <t>Japanese</t>
        </is>
      </c>
      <c r="E12" s="26" t="inlineStr">
        <is>
          <t>1st Edition + Unlimited Edition</t>
        </is>
      </c>
      <c r="F12" s="26" t="inlineStr">
        <is>
          <t>Split each Japanese counterpart by edition</t>
        </is>
      </c>
      <c r="G12" s="26" t="inlineStr">
        <is>
          <t>VERIFIED</t>
        </is>
      </c>
      <c r="H12" s="26" t="inlineStr">
        <is>
          <t>https://bulbapedia.bulbagarden.net/wiki/EX_Delta_Species_(TCG)</t>
        </is>
      </c>
      <c r="I12" s="26" t="inlineStr">
        <is>
          <t>Buy Japanese singles and verify edition mark.</t>
        </is>
      </c>
      <c r="J12" s="26" t="inlineStr">
        <is>
          <t>Holon Research Tower released in both 1st and Unlimited.</t>
        </is>
      </c>
    </row>
    <row r="13">
      <c r="A13" s="26" t="inlineStr">
        <is>
          <t>EX</t>
        </is>
      </c>
      <c r="B13" s="26" t="inlineStr">
        <is>
          <t>Marill</t>
        </is>
      </c>
      <c r="C13" s="26" t="inlineStr">
        <is>
          <t>EX Team Rocket Returns 68/109</t>
        </is>
      </c>
      <c r="D13" s="26" t="inlineStr">
        <is>
          <t>English</t>
        </is>
      </c>
      <c r="E13" s="26" t="inlineStr">
        <is>
          <t>Standard + Reverse Holo with set logo</t>
        </is>
      </c>
      <c r="F13" s="26" t="inlineStr">
        <is>
          <t>Split into 2 physical rows</t>
        </is>
      </c>
      <c r="G13" s="26" t="inlineStr">
        <is>
          <t>VERIFIED</t>
        </is>
      </c>
      <c r="H13" s="26" t="inlineStr">
        <is>
          <t>https://bulbapedia.bulbagarden.net/wiki/EX_Team_Rocket_Returns_(TCG)</t>
        </is>
      </c>
      <c r="I13" s="26" t="inlineStr">
        <is>
          <t>Buy both singles.</t>
        </is>
      </c>
      <c r="J13" s="26" t="inlineStr">
        <is>
          <t>Set released internationally only in English and Brazilian Portuguese. Spanish row removed.</t>
        </is>
      </c>
    </row>
    <row r="14">
      <c r="A14" s="26" t="inlineStr">
        <is>
          <t>EX</t>
        </is>
      </c>
      <c r="B14" s="26" t="inlineStr">
        <is>
          <t>Azumarill</t>
        </is>
      </c>
      <c r="C14" s="26" t="inlineStr">
        <is>
          <t>EX Team Rocket Returns 1/109</t>
        </is>
      </c>
      <c r="D14" s="26" t="inlineStr">
        <is>
          <t>English</t>
        </is>
      </c>
      <c r="E14" s="26" t="inlineStr">
        <is>
          <t>Holo + Reverse Holo + Non-Holo James Theme Deck</t>
        </is>
      </c>
      <c r="F14" s="26" t="inlineStr">
        <is>
          <t>Split into 3 physical rows</t>
        </is>
      </c>
      <c r="G14" s="26" t="inlineStr">
        <is>
          <t>VERIFIED</t>
        </is>
      </c>
      <c r="H14" s="26" t="inlineStr">
        <is>
          <t>https://bulbapedia.bulbagarden.net/wiki/EX_Team_Rocket_Returns_(TCG)</t>
        </is>
      </c>
      <c r="I14" s="26" t="inlineStr">
        <is>
          <t>Buy all three singles; theme deck non-holo is separate.</t>
        </is>
      </c>
      <c r="J14" s="26" t="inlineStr">
        <is>
          <t>Spanish row removed. James Theme Deck non-holo is a documented extra printing.</t>
        </is>
      </c>
    </row>
    <row r="15">
      <c r="A15" s="26" t="inlineStr">
        <is>
          <t>EX</t>
        </is>
      </c>
      <c r="B15" s="26" t="inlineStr">
        <is>
          <t>Marill/Azumarill</t>
        </is>
      </c>
      <c r="C15" s="26" t="inlineStr">
        <is>
          <t>Rocket Gang Strikes Back Japanese counterparts</t>
        </is>
      </c>
      <c r="D15" s="26" t="inlineStr">
        <is>
          <t>Japanese</t>
        </is>
      </c>
      <c r="E15" s="26" t="inlineStr">
        <is>
          <t>1st Edition + Unlimited Edition</t>
        </is>
      </c>
      <c r="F15" s="26" t="inlineStr">
        <is>
          <t>Split each Japanese counterpart by edition</t>
        </is>
      </c>
      <c r="G15" s="26" t="inlineStr">
        <is>
          <t>VERIFIED</t>
        </is>
      </c>
      <c r="H15" s="26" t="inlineStr">
        <is>
          <t>https://bulbapedia.bulbagarden.net/wiki/EX_Team_Rocket_Returns_(TCG)</t>
        </is>
      </c>
      <c r="I15" s="26" t="inlineStr">
        <is>
          <t>Buy Japanese singles and verify edition mark.</t>
        </is>
      </c>
      <c r="J15" s="26" t="inlineStr">
        <is>
          <t>Japanese set released in both editions. Marill number is 024/084.</t>
        </is>
      </c>
    </row>
    <row r="16">
      <c r="A16" s="26" t="inlineStr">
        <is>
          <t>Diamond &amp; Pearl</t>
        </is>
      </c>
      <c r="B16" s="26" t="inlineStr">
        <is>
          <t>Azurill/Marill/Azumarill</t>
        </is>
      </c>
      <c r="C16" s="26" t="inlineStr">
        <is>
          <t>Diamond &amp; Pearl base-set cards</t>
        </is>
      </c>
      <c r="D16" s="26" t="inlineStr">
        <is>
          <t>English</t>
        </is>
      </c>
      <c r="E16" s="26" t="inlineStr">
        <is>
          <t>Standard + Reverse Holo</t>
        </is>
      </c>
      <c r="F16" s="26" t="inlineStr">
        <is>
          <t>Split each English card into 2 physical rows</t>
        </is>
      </c>
      <c r="G16" s="26" t="inlineStr">
        <is>
          <t>VERIFIED</t>
        </is>
      </c>
      <c r="H16" s="26" t="inlineStr">
        <is>
          <t>https://bulbapedia.bulbagarden.net/wiki/Diamond_%26_Pearl_(TCG)</t>
        </is>
      </c>
      <c r="I16" s="26" t="inlineStr">
        <is>
          <t>Buy standard and reverse singles.</t>
        </is>
      </c>
      <c r="J16" s="26" t="inlineStr">
        <is>
          <t>English cards have reverse-holo counterparts.</t>
        </is>
      </c>
    </row>
    <row r="17">
      <c r="A17" s="41" t="inlineStr">
        <is>
          <t>Diamond &amp; Pearl</t>
        </is>
      </c>
      <c r="B17" s="41" t="inlineStr">
        <is>
          <t>Azurill/Marill/Azumarill</t>
        </is>
      </c>
      <c r="C17" s="41" t="inlineStr">
        <is>
          <t>Diamond &amp; Pearl base-set cards</t>
        </is>
      </c>
      <c r="D17" s="41" t="inlineStr">
        <is>
          <t>Spanish</t>
        </is>
      </c>
      <c r="E17" s="41" t="inlineStr">
        <is>
          <t>Standard only</t>
        </is>
      </c>
      <c r="F17" s="41" t="inlineStr">
        <is>
          <t>Keep 1 Spanish row per card</t>
        </is>
      </c>
      <c r="G17" s="41" t="inlineStr">
        <is>
          <t>VERIFIED</t>
        </is>
      </c>
      <c r="H17" s="41" t="inlineStr">
        <is>
          <t>https://bulbapedia.bulbagarden.net/wiki/Diamond_%26_Pearl_(TCG)</t>
        </is>
      </c>
      <c r="I17" s="41" t="inlineStr">
        <is>
          <t>Buy Spanish standard singles; do not hunt reverse versions.</t>
        </is>
      </c>
      <c r="J17" s="41" t="inlineStr">
        <is>
          <t>Spanish Diamond &amp; Pearl officially exists but lacked reverse-holo cards.</t>
        </is>
      </c>
    </row>
    <row r="18">
      <c r="A18" s="41" t="inlineStr">
        <is>
          <t>Diamond &amp; Pearl</t>
        </is>
      </c>
      <c r="B18" s="41" t="inlineStr">
        <is>
          <t>Azurill/Marill/Azumarill</t>
        </is>
      </c>
      <c r="C18" s="41" t="inlineStr">
        <is>
          <t>Space-Time Creation counterparts</t>
        </is>
      </c>
      <c r="D18" s="41" t="inlineStr">
        <is>
          <t>Japanese</t>
        </is>
      </c>
      <c r="E18" s="41" t="inlineStr">
        <is>
          <t>1st Edition + Unlimited Edition</t>
        </is>
      </c>
      <c r="F18" s="41" t="inlineStr">
        <is>
          <t>Split each Japanese counterpart by edition</t>
        </is>
      </c>
      <c r="G18" s="41" t="inlineStr">
        <is>
          <t>VERIFIED</t>
        </is>
      </c>
      <c r="H18" s="41" t="inlineStr">
        <is>
          <t>https://bulbapedia.bulbagarden.net/wiki/Diamond_%26_Pearl_(TCG)</t>
        </is>
      </c>
      <c r="I18" s="41" t="inlineStr">
        <is>
          <t>Buy Japanese singles and verify 1st/Unlimited marks.</t>
        </is>
      </c>
      <c r="J18" s="41" t="inlineStr">
        <is>
          <t>Japanese Space-Time Creation was released in both 1st and Unlimited.</t>
        </is>
      </c>
    </row>
    <row r="19">
      <c r="A19" s="41" t="inlineStr">
        <is>
          <t>HGSS</t>
        </is>
      </c>
      <c r="B19" s="41" t="inlineStr">
        <is>
          <t>Marill</t>
        </is>
      </c>
      <c r="C19" s="41" t="inlineStr">
        <is>
          <t>HeartGold &amp; SoulSilver 74/123</t>
        </is>
      </c>
      <c r="D19" s="41" t="inlineStr">
        <is>
          <t>English</t>
        </is>
      </c>
      <c r="E19" s="41" t="inlineStr">
        <is>
          <t>Standard + Reverse Holo</t>
        </is>
      </c>
      <c r="F19" s="41" t="inlineStr">
        <is>
          <t>Split into 2 physical rows</t>
        </is>
      </c>
      <c r="G19" s="41" t="inlineStr">
        <is>
          <t>VERIFIED</t>
        </is>
      </c>
      <c r="H19" s="41" t="inlineStr">
        <is>
          <t>https://bulbapedia.bulbagarden.net/wiki/HeartGold_%26_SoulSilver_(TCG)</t>
        </is>
      </c>
      <c r="I19" s="41" t="inlineStr">
        <is>
          <t>Buy regular and reverse singles.</t>
        </is>
      </c>
      <c r="J19" s="41" t="inlineStr">
        <is>
          <t>English HGSS cards have reverse-holo counterparts.</t>
        </is>
      </c>
    </row>
    <row r="20">
      <c r="A20" s="41" t="inlineStr">
        <is>
          <t>HGSS</t>
        </is>
      </c>
      <c r="B20" s="41" t="inlineStr">
        <is>
          <t>Azumarill</t>
        </is>
      </c>
      <c r="C20" s="41" t="inlineStr">
        <is>
          <t>HeartGold &amp; SoulSilver 2/123</t>
        </is>
      </c>
      <c r="D20" s="41" t="inlineStr">
        <is>
          <t>English</t>
        </is>
      </c>
      <c r="E20" s="41" t="inlineStr">
        <is>
          <t>Holo + Reverse Holo</t>
        </is>
      </c>
      <c r="F20" s="41" t="inlineStr">
        <is>
          <t>Split into 2 physical rows</t>
        </is>
      </c>
      <c r="G20" s="41" t="inlineStr">
        <is>
          <t>VERIFIED</t>
        </is>
      </c>
      <c r="H20" s="41" t="inlineStr">
        <is>
          <t>https://bulbapedia.bulbagarden.net/wiki/HeartGold_%26_SoulSilver_(TCG)</t>
        </is>
      </c>
      <c r="I20" s="41" t="inlineStr">
        <is>
          <t>Buy holo and reverse separately.</t>
        </is>
      </c>
      <c r="J20" s="41" t="inlineStr">
        <is>
          <t>Azumarill is a holo rare and still has a reverse-holo counterpart.</t>
        </is>
      </c>
    </row>
    <row r="21">
      <c r="A21" s="41" t="inlineStr">
        <is>
          <t>HGSS</t>
        </is>
      </c>
      <c r="B21" s="41" t="inlineStr">
        <is>
          <t>Marill/Azumarill</t>
        </is>
      </c>
      <c r="C21" s="41" t="inlineStr">
        <is>
          <t>HeartGold &amp; SoulSilver cards</t>
        </is>
      </c>
      <c r="D21" s="41" t="inlineStr">
        <is>
          <t>Spanish</t>
        </is>
      </c>
      <c r="E21" s="41" t="inlineStr">
        <is>
          <t>Standard/Holo + Reverse Holo</t>
        </is>
      </c>
      <c r="F21" s="41" t="inlineStr">
        <is>
          <t>Split each Spanish card into 2 physical rows</t>
        </is>
      </c>
      <c r="G21" s="41" t="inlineStr">
        <is>
          <t>VERIFIED</t>
        </is>
      </c>
      <c r="H21" s="41" t="inlineStr">
        <is>
          <t>https://bulbapedia.bulbagarden.net/wiki/HeartGold_%26_SoulSilver_(TCG)</t>
        </is>
      </c>
      <c r="I21" s="41" t="inlineStr">
        <is>
          <t>Search Spanish + reverse holo separately.</t>
        </is>
      </c>
      <c r="J21" s="41" t="inlineStr">
        <is>
          <t>Spanish HGSS cards were available as reverse holos.</t>
        </is>
      </c>
    </row>
    <row r="22">
      <c r="A22" s="41" t="inlineStr">
        <is>
          <t>HGSS</t>
        </is>
      </c>
      <c r="B22" s="41" t="inlineStr">
        <is>
          <t>Marill/Azumarill</t>
        </is>
      </c>
      <c r="C22" s="41" t="inlineStr">
        <is>
          <t>SoulSilver Collection counterparts</t>
        </is>
      </c>
      <c r="D22" s="41" t="inlineStr">
        <is>
          <t>Japanese</t>
        </is>
      </c>
      <c r="E22" s="41" t="inlineStr">
        <is>
          <t>1st Edition standard/holo + Mirror Reverse</t>
        </is>
      </c>
      <c r="F22" s="41" t="inlineStr">
        <is>
          <t>Split each Japanese card into standard + mirror</t>
        </is>
      </c>
      <c r="G22" s="41" t="inlineStr">
        <is>
          <t>VERIFIED</t>
        </is>
      </c>
      <c r="H22" s="41" t="inlineStr">
        <is>
          <t>https://bulbapedia.bulbagarden.net/wiki/HeartGold_%26_SoulSilver_(TCG)</t>
        </is>
      </c>
      <c r="I22" s="41" t="inlineStr">
        <is>
          <t>Buy 1st Edition normal and mirror versions separately.</t>
        </is>
      </c>
      <c r="J22" s="41" t="inlineStr">
        <is>
          <t>Japanese HGSS Collection is 1st Edition only; cards other than LEGEND/Alph Lithograph also have mirror reverses.</t>
        </is>
      </c>
    </row>
    <row r="23">
      <c r="A23" t="inlineStr">
        <is>
          <t>Black &amp; White</t>
        </is>
      </c>
      <c r="B23" t="inlineStr">
        <is>
          <t>Marill</t>
        </is>
      </c>
      <c r="C23" t="inlineStr">
        <is>
          <t>Boundaries Crossed 36/149</t>
        </is>
      </c>
      <c r="D23" t="inlineStr">
        <is>
          <t>English</t>
        </is>
      </c>
      <c r="E23" t="inlineStr">
        <is>
          <t>Standard + Reverse Holo</t>
        </is>
      </c>
      <c r="F23" t="inlineStr">
        <is>
          <t>Split into 2 physical rows</t>
        </is>
      </c>
      <c r="G23" t="inlineStr">
        <is>
          <t>VERIFIED</t>
        </is>
      </c>
      <c r="H23" t="inlineStr">
        <is>
          <t>https://bulbapedia.bulbagarden.net/wiki/Boundaries_Crossed_(TCG)</t>
        </is>
      </c>
      <c r="I23" t="inlineStr">
        <is>
          <t>Buy regular and reverse as singles.</t>
        </is>
      </c>
      <c r="J23" t="inlineStr">
        <is>
          <t>English Boundaries Crossed cards were available as reverse holos.</t>
        </is>
      </c>
    </row>
    <row r="24">
      <c r="A24" t="inlineStr">
        <is>
          <t>Black &amp; White</t>
        </is>
      </c>
      <c r="B24" t="inlineStr">
        <is>
          <t>Marill</t>
        </is>
      </c>
      <c r="C24" t="inlineStr">
        <is>
          <t>Boundaries Crossed 36/149</t>
        </is>
      </c>
      <c r="D24" t="inlineStr">
        <is>
          <t>Spanish</t>
        </is>
      </c>
      <c r="E24" t="inlineStr">
        <is>
          <t>Standard + Reverse Holo</t>
        </is>
      </c>
      <c r="F24" t="inlineStr">
        <is>
          <t>Split into 2 physical rows</t>
        </is>
      </c>
      <c r="G24" t="inlineStr">
        <is>
          <t>VERIFIED</t>
        </is>
      </c>
      <c r="H24" t="inlineStr">
        <is>
          <t>https://bulbapedia.bulbagarden.net/wiki/Boundaries_Crossed_(TCG)</t>
        </is>
      </c>
      <c r="I24" t="inlineStr">
        <is>
          <t>Search 36/149 Español and Reverse separately.</t>
        </is>
      </c>
      <c r="J24" t="inlineStr">
        <is>
          <t>Spanish Boundaries Crossed cards were also available as reverse holos.</t>
        </is>
      </c>
    </row>
    <row r="25">
      <c r="A25" t="inlineStr">
        <is>
          <t>Black &amp; White</t>
        </is>
      </c>
      <c r="B25" t="inlineStr">
        <is>
          <t>Azumarill</t>
        </is>
      </c>
      <c r="C25" t="inlineStr">
        <is>
          <t>Boundaries Crossed 37/149</t>
        </is>
      </c>
      <c r="D25" t="inlineStr">
        <is>
          <t>English</t>
        </is>
      </c>
      <c r="E25" t="inlineStr">
        <is>
          <t>Standard + Reverse Holo</t>
        </is>
      </c>
      <c r="F25" t="inlineStr">
        <is>
          <t>Split into 2 physical rows</t>
        </is>
      </c>
      <c r="G25" t="inlineStr">
        <is>
          <t>VERIFIED</t>
        </is>
      </c>
      <c r="H25" t="inlineStr">
        <is>
          <t>https://bulbapedia.bulbagarden.net/wiki/Boundaries_Crossed_(TCG)</t>
        </is>
      </c>
      <c r="I25" t="inlineStr">
        <is>
          <t>Buy regular and reverse as singles.</t>
        </is>
      </c>
      <c r="J25" t="inlineStr">
        <is>
          <t>Same set-level reverse-holo rule.</t>
        </is>
      </c>
    </row>
    <row r="26">
      <c r="A26" t="inlineStr">
        <is>
          <t>Black &amp; White</t>
        </is>
      </c>
      <c r="B26" t="inlineStr">
        <is>
          <t>Azumarill</t>
        </is>
      </c>
      <c r="C26" t="inlineStr">
        <is>
          <t>Boundaries Crossed 37/149</t>
        </is>
      </c>
      <c r="D26" t="inlineStr">
        <is>
          <t>Spanish</t>
        </is>
      </c>
      <c r="E26" t="inlineStr">
        <is>
          <t>Standard + Reverse Holo</t>
        </is>
      </c>
      <c r="F26" t="inlineStr">
        <is>
          <t>Split into 2 physical rows</t>
        </is>
      </c>
      <c r="G26" t="inlineStr">
        <is>
          <t>VERIFIED</t>
        </is>
      </c>
      <c r="H26" t="inlineStr">
        <is>
          <t>https://bulbapedia.bulbagarden.net/wiki/Boundaries_Crossed_(TCG)</t>
        </is>
      </c>
      <c r="I26" t="inlineStr">
        <is>
          <t>Search 37/149 Español and Reverse separately.</t>
        </is>
      </c>
      <c r="J26" t="inlineStr">
        <is>
          <t>Spanish cards in this set had reverse-holo counterparts.</t>
        </is>
      </c>
    </row>
    <row r="27">
      <c r="A27" t="inlineStr">
        <is>
          <t>Black &amp; White</t>
        </is>
      </c>
      <c r="B27" t="inlineStr">
        <is>
          <t>Marill/Azumarill</t>
        </is>
      </c>
      <c r="C27" t="inlineStr">
        <is>
          <t>Freeze Bolt counterparts</t>
        </is>
      </c>
      <c r="D27" t="inlineStr">
        <is>
          <t>Japanese</t>
        </is>
      </c>
      <c r="E27" t="inlineStr">
        <is>
          <t>1st Edition + Unlimited Edition</t>
        </is>
      </c>
      <c r="F27" t="inlineStr">
        <is>
          <t>Split each Japanese counterpart by edition</t>
        </is>
      </c>
      <c r="G27" t="inlineStr">
        <is>
          <t>VERIFIED</t>
        </is>
      </c>
      <c r="H27" t="inlineStr">
        <is>
          <t>https://bulbapedia.bulbagarden.net/wiki/Boundaries_Crossed_(TCG)</t>
        </is>
      </c>
      <c r="I27" t="inlineStr">
        <is>
          <t>Inspect the edition mark before buying.</t>
        </is>
      </c>
      <c r="J27" t="inlineStr">
        <is>
          <t>Freeze Bolt and Cold Flare were available in both Japanese 1st and Unlimited editions.</t>
        </is>
      </c>
    </row>
    <row r="28">
      <c r="A28" t="inlineStr">
        <is>
          <t>XY</t>
        </is>
      </c>
      <c r="B28" t="inlineStr">
        <is>
          <t>Marill</t>
        </is>
      </c>
      <c r="C28" t="inlineStr">
        <is>
          <t>Primal Clash 102/160</t>
        </is>
      </c>
      <c r="D28" t="inlineStr">
        <is>
          <t>English</t>
        </is>
      </c>
      <c r="E28" t="inlineStr">
        <is>
          <t>Standard + Reverse Holo</t>
        </is>
      </c>
      <c r="F28" t="inlineStr">
        <is>
          <t>Split into 2 physical rows</t>
        </is>
      </c>
      <c r="G28" t="inlineStr">
        <is>
          <t>VERIFIED</t>
        </is>
      </c>
      <c r="H28" t="inlineStr">
        <is>
          <t>https://bulbapedia.bulbagarden.net/wiki/Primal_Clash_(TCG)</t>
        </is>
      </c>
      <c r="I28" t="inlineStr">
        <is>
          <t>Buy regular and reverse singles.</t>
        </is>
      </c>
      <c r="J28" t="inlineStr">
        <is>
          <t>English Primal Clash cards had reverse-holo counterparts.</t>
        </is>
      </c>
    </row>
    <row r="29">
      <c r="A29" t="inlineStr">
        <is>
          <t>XY</t>
        </is>
      </c>
      <c r="B29" t="inlineStr">
        <is>
          <t>Marill</t>
        </is>
      </c>
      <c r="C29" t="inlineStr">
        <is>
          <t>Primal Clash 102/160</t>
        </is>
      </c>
      <c r="D29" t="inlineStr">
        <is>
          <t>Spanish</t>
        </is>
      </c>
      <c r="E29" t="inlineStr">
        <is>
          <t>Standard + Reverse Holo</t>
        </is>
      </c>
      <c r="F29" t="inlineStr">
        <is>
          <t>Split into 2 physical rows</t>
        </is>
      </c>
      <c r="G29" t="inlineStr">
        <is>
          <t>VERIFIED</t>
        </is>
      </c>
      <c r="H29" t="inlineStr">
        <is>
          <t>https://bulbapedia.bulbagarden.net/wiki/Primal_Clash_(TCG)</t>
        </is>
      </c>
      <c r="I29" t="inlineStr">
        <is>
          <t>Buy Spanish regular and reverse separately.</t>
        </is>
      </c>
      <c r="J29" t="inlineStr">
        <is>
          <t>Spanish Primal Clash cards had reverse-holo counterparts.</t>
        </is>
      </c>
    </row>
    <row r="30">
      <c r="A30" t="inlineStr">
        <is>
          <t>XY</t>
        </is>
      </c>
      <c r="B30" t="inlineStr">
        <is>
          <t>Marill</t>
        </is>
      </c>
      <c r="C30" t="inlineStr">
        <is>
          <t>McDonald's Collection 2015 10/12</t>
        </is>
      </c>
      <c r="D30" t="inlineStr">
        <is>
          <t>English</t>
        </is>
      </c>
      <c r="E30" t="inlineStr">
        <is>
          <t>Exclusive Confetti Holo</t>
        </is>
      </c>
      <c r="F30" t="inlineStr">
        <is>
          <t>Keep separate special row</t>
        </is>
      </c>
      <c r="G30" t="inlineStr">
        <is>
          <t>VERIFIED</t>
        </is>
      </c>
      <c r="H30" t="inlineStr">
        <is>
          <t>https://bulbapedia.bulbagarden.net/wiki/Marill_(Primal_Clash_102)</t>
        </is>
      </c>
      <c r="I30" t="inlineStr">
        <is>
          <t>Buy the promo single; do not chase sealed Happy Meal product.</t>
        </is>
      </c>
      <c r="J30" t="inlineStr">
        <is>
          <t>Reprint of Primal Clash artwork with an exclusive Confetti Holo treatment.</t>
        </is>
      </c>
    </row>
    <row r="31">
      <c r="A31" t="inlineStr">
        <is>
          <t>XY</t>
        </is>
      </c>
      <c r="B31" t="inlineStr">
        <is>
          <t>Azumarill</t>
        </is>
      </c>
      <c r="C31" t="inlineStr">
        <is>
          <t>Primal Clash 103/160</t>
        </is>
      </c>
      <c r="D31" t="inlineStr">
        <is>
          <t>English</t>
        </is>
      </c>
      <c r="E31" t="inlineStr">
        <is>
          <t>Standard + Reverse Holo</t>
        </is>
      </c>
      <c r="F31" t="inlineStr">
        <is>
          <t>Split into 2 physical rows</t>
        </is>
      </c>
      <c r="G31" t="inlineStr">
        <is>
          <t>VERIFIED</t>
        </is>
      </c>
      <c r="H31" t="inlineStr">
        <is>
          <t>https://bulbapedia.bulbagarden.net/wiki/Primal_Clash_(TCG)</t>
        </is>
      </c>
      <c r="I31" t="inlineStr">
        <is>
          <t>Buy both singles.</t>
        </is>
      </c>
      <c r="J31" t="inlineStr">
        <is>
          <t>103/160 is Rare, not Holo Rare.</t>
        </is>
      </c>
    </row>
    <row r="32">
      <c r="A32" t="inlineStr">
        <is>
          <t>XY</t>
        </is>
      </c>
      <c r="B32" t="inlineStr">
        <is>
          <t>Azumarill</t>
        </is>
      </c>
      <c r="C32" t="inlineStr">
        <is>
          <t>Primal Clash 103/160</t>
        </is>
      </c>
      <c r="D32" t="inlineStr">
        <is>
          <t>Spanish</t>
        </is>
      </c>
      <c r="E32" t="inlineStr">
        <is>
          <t>Standard + Reverse Holo</t>
        </is>
      </c>
      <c r="F32" t="inlineStr">
        <is>
          <t>Split into 2 physical rows</t>
        </is>
      </c>
      <c r="G32" t="inlineStr">
        <is>
          <t>VERIFIED</t>
        </is>
      </c>
      <c r="H32" t="inlineStr">
        <is>
          <t>https://bulbapedia.bulbagarden.net/wiki/Primal_Clash_(TCG)</t>
        </is>
      </c>
      <c r="I32" t="inlineStr">
        <is>
          <t>Buy Spanish regular and reverse separately.</t>
        </is>
      </c>
      <c r="J32" t="inlineStr">
        <is>
          <t>Spanish set had reverse-holo counterparts.</t>
        </is>
      </c>
    </row>
    <row r="33">
      <c r="A33" t="inlineStr">
        <is>
          <t>XY</t>
        </is>
      </c>
      <c r="B33" t="inlineStr">
        <is>
          <t>Azumarill</t>
        </is>
      </c>
      <c r="C33" t="inlineStr">
        <is>
          <t>Primal Clash 104/160</t>
        </is>
      </c>
      <c r="D33" t="inlineStr">
        <is>
          <t>English</t>
        </is>
      </c>
      <c r="E33" t="inlineStr">
        <is>
          <t>Holo + Reverse Holo</t>
        </is>
      </c>
      <c r="F33" t="inlineStr">
        <is>
          <t>Split into 2 physical rows</t>
        </is>
      </c>
      <c r="G33" t="inlineStr">
        <is>
          <t>VERIFIED</t>
        </is>
      </c>
      <c r="H33" t="inlineStr">
        <is>
          <t>https://bulbapedia.bulbagarden.net/wiki/Azumarill_(Primal_Clash_104); https://bulbapedia.bulbagarden.net/wiki/Primal_Clash_(TCG)</t>
        </is>
      </c>
      <c r="I33" t="inlineStr">
        <is>
          <t>Buy Holo Rare and reverse separately.</t>
        </is>
      </c>
      <c r="J33" t="inlineStr">
        <is>
          <t>104/160 is a Rare Holo Ancient Trait card.</t>
        </is>
      </c>
    </row>
    <row r="34">
      <c r="A34" t="inlineStr">
        <is>
          <t>XY</t>
        </is>
      </c>
      <c r="B34" t="inlineStr">
        <is>
          <t>Azumarill</t>
        </is>
      </c>
      <c r="C34" t="inlineStr">
        <is>
          <t>Primal Clash 104/160</t>
        </is>
      </c>
      <c r="D34" t="inlineStr">
        <is>
          <t>Spanish</t>
        </is>
      </c>
      <c r="E34" t="inlineStr">
        <is>
          <t>Holo + Reverse Holo</t>
        </is>
      </c>
      <c r="F34" t="inlineStr">
        <is>
          <t>Split into 2 physical rows</t>
        </is>
      </c>
      <c r="G34" t="inlineStr">
        <is>
          <t>VERIFIED</t>
        </is>
      </c>
      <c r="H34" t="inlineStr">
        <is>
          <t>https://bulbapedia.bulbagarden.net/wiki/Azumarill_(Primal_Clash_104); https://bulbapedia.bulbagarden.net/wiki/Primal_Clash_(TCG)</t>
        </is>
      </c>
      <c r="I34" t="inlineStr">
        <is>
          <t>Search Spanish holo and reverse separately.</t>
        </is>
      </c>
      <c r="J34" t="inlineStr">
        <is>
          <t>Spanish Primal Clash supports reverse holos.</t>
        </is>
      </c>
    </row>
    <row r="35">
      <c r="A35" t="inlineStr">
        <is>
          <t>XY</t>
        </is>
      </c>
      <c r="B35" t="inlineStr">
        <is>
          <t>Marill/Azumarill</t>
        </is>
      </c>
      <c r="C35" t="inlineStr">
        <is>
          <t>Tidal Storm counterparts</t>
        </is>
      </c>
      <c r="D35" t="inlineStr">
        <is>
          <t>Japanese</t>
        </is>
      </c>
      <c r="E35" t="inlineStr">
        <is>
          <t>1st Edition + Unlimited Edition</t>
        </is>
      </c>
      <c r="F35" t="inlineStr">
        <is>
          <t>Split each Japanese counterpart by edition</t>
        </is>
      </c>
      <c r="G35" t="inlineStr">
        <is>
          <t>VERIFIED</t>
        </is>
      </c>
      <c r="H35" t="inlineStr">
        <is>
          <t>https://bulbapedia.bulbagarden.net/wiki/Primal_Clash_(TCG)</t>
        </is>
      </c>
      <c r="I35" t="inlineStr">
        <is>
          <t>Inspect edition marks; Unlimited may be harder to source.</t>
        </is>
      </c>
      <c r="J35" t="inlineStr">
        <is>
          <t>Tidal Storm was released in both Japanese 1st and Unlimited editions.</t>
        </is>
      </c>
    </row>
    <row r="36">
      <c r="A36" t="inlineStr">
        <is>
          <t>XY</t>
        </is>
      </c>
      <c r="B36" t="inlineStr">
        <is>
          <t>Marill</t>
        </is>
      </c>
      <c r="C36" t="inlineStr">
        <is>
          <t>Steam Siege 76/114</t>
        </is>
      </c>
      <c r="D36" t="inlineStr">
        <is>
          <t>English</t>
        </is>
      </c>
      <c r="E36" t="inlineStr">
        <is>
          <t>Standard + Reverse Holo</t>
        </is>
      </c>
      <c r="F36" t="inlineStr">
        <is>
          <t>Split into 2 physical rows</t>
        </is>
      </c>
      <c r="G36" t="inlineStr">
        <is>
          <t>VERIFIED</t>
        </is>
      </c>
      <c r="H36" t="inlineStr">
        <is>
          <t>https://bulbapedia.bulbagarden.net/wiki/Steam_Siege_(TCG)</t>
        </is>
      </c>
      <c r="I36" t="inlineStr">
        <is>
          <t>Buy both singles.</t>
        </is>
      </c>
      <c r="J36" t="inlineStr">
        <is>
          <t>English Steam Siege cards had reverse-holo counterparts.</t>
        </is>
      </c>
    </row>
    <row r="37">
      <c r="A37" t="inlineStr">
        <is>
          <t>XY</t>
        </is>
      </c>
      <c r="B37" t="inlineStr">
        <is>
          <t>Marill</t>
        </is>
      </c>
      <c r="C37" t="inlineStr">
        <is>
          <t>Steam Siege 76/114</t>
        </is>
      </c>
      <c r="D37" t="inlineStr">
        <is>
          <t>Spanish</t>
        </is>
      </c>
      <c r="E37" t="inlineStr">
        <is>
          <t>Standard + Reverse Holo</t>
        </is>
      </c>
      <c r="F37" t="inlineStr">
        <is>
          <t>Split into 2 physical rows</t>
        </is>
      </c>
      <c r="G37" t="inlineStr">
        <is>
          <t>VERIFIED</t>
        </is>
      </c>
      <c r="H37" t="inlineStr">
        <is>
          <t>https://bulbapedia.bulbagarden.net/wiki/Steam_Siege_(TCG)</t>
        </is>
      </c>
      <c r="I37" t="inlineStr">
        <is>
          <t>Buy Spanish regular and reverse separately.</t>
        </is>
      </c>
      <c r="J37" t="inlineStr">
        <is>
          <t>Spanish Steam Siege cards had reverse-holo counterparts.</t>
        </is>
      </c>
    </row>
    <row r="38">
      <c r="A38" t="inlineStr">
        <is>
          <t>XY</t>
        </is>
      </c>
      <c r="B38" t="inlineStr">
        <is>
          <t>Azumarill</t>
        </is>
      </c>
      <c r="C38" t="inlineStr">
        <is>
          <t>Steam Siege 77/114</t>
        </is>
      </c>
      <c r="D38" t="inlineStr">
        <is>
          <t>English</t>
        </is>
      </c>
      <c r="E38" t="inlineStr">
        <is>
          <t>Standard + Reverse Holo</t>
        </is>
      </c>
      <c r="F38" t="inlineStr">
        <is>
          <t>Split into 2 physical rows</t>
        </is>
      </c>
      <c r="G38" t="inlineStr">
        <is>
          <t>VERIFIED</t>
        </is>
      </c>
      <c r="H38" t="inlineStr">
        <is>
          <t>https://bulbapedia.bulbagarden.net/wiki/Steam_Siege_(TCG)</t>
        </is>
      </c>
      <c r="I38" t="inlineStr">
        <is>
          <t>Buy both singles.</t>
        </is>
      </c>
      <c r="J38" t="inlineStr">
        <is>
          <t>Dual-type card; set-level reverse-holo rule still applies.</t>
        </is>
      </c>
    </row>
    <row r="39">
      <c r="A39" t="inlineStr">
        <is>
          <t>XY</t>
        </is>
      </c>
      <c r="B39" t="inlineStr">
        <is>
          <t>Azumarill</t>
        </is>
      </c>
      <c r="C39" t="inlineStr">
        <is>
          <t>Steam Siege 77/114</t>
        </is>
      </c>
      <c r="D39" t="inlineStr">
        <is>
          <t>Spanish</t>
        </is>
      </c>
      <c r="E39" t="inlineStr">
        <is>
          <t>Standard + Reverse Holo</t>
        </is>
      </c>
      <c r="F39" t="inlineStr">
        <is>
          <t>Split into 2 physical rows</t>
        </is>
      </c>
      <c r="G39" t="inlineStr">
        <is>
          <t>VERIFIED</t>
        </is>
      </c>
      <c r="H39" t="inlineStr">
        <is>
          <t>https://bulbapedia.bulbagarden.net/wiki/Steam_Siege_(TCG)</t>
        </is>
      </c>
      <c r="I39" t="inlineStr">
        <is>
          <t>Buy Spanish regular and reverse separately.</t>
        </is>
      </c>
      <c r="J39" t="inlineStr">
        <is>
          <t>Spanish Steam Siege cards had reverse-holo counterparts.</t>
        </is>
      </c>
    </row>
    <row r="40">
      <c r="A40" t="inlineStr">
        <is>
          <t>XY</t>
        </is>
      </c>
      <c r="B40" t="inlineStr">
        <is>
          <t>Marill/Azumarill</t>
        </is>
      </c>
      <c r="C40" t="inlineStr">
        <is>
          <t>Cruel Traitor counterparts</t>
        </is>
      </c>
      <c r="D40" t="inlineStr">
        <is>
          <t>Japanese</t>
        </is>
      </c>
      <c r="E40" t="inlineStr">
        <is>
          <t>1st Edition + Unlimited Edition</t>
        </is>
      </c>
      <c r="F40" t="inlineStr">
        <is>
          <t>Split each Japanese counterpart by edition</t>
        </is>
      </c>
      <c r="G40" t="inlineStr">
        <is>
          <t>VERIFIED</t>
        </is>
      </c>
      <c r="H40" t="inlineStr">
        <is>
          <t>https://bulbapedia.bulbagarden.net/wiki/Steam_Siege_(TCG)</t>
        </is>
      </c>
      <c r="I40" t="inlineStr">
        <is>
          <t>Inspect edition marks before purchase.</t>
        </is>
      </c>
      <c r="J40" t="inlineStr">
        <is>
          <t>Cruel Traitor/Fever-Burst Fighter were available in Japanese 1st and Unlimited editions.</t>
        </is>
      </c>
    </row>
    <row r="41">
      <c r="A41" t="inlineStr">
        <is>
          <t>Sun &amp; Moon</t>
        </is>
      </c>
      <c r="B41" t="inlineStr">
        <is>
          <t>Marill</t>
        </is>
      </c>
      <c r="C41" t="inlineStr">
        <is>
          <t>Burning Shadows 34/147</t>
        </is>
      </c>
      <c r="D41" t="inlineStr">
        <is>
          <t>English</t>
        </is>
      </c>
      <c r="E41" t="inlineStr">
        <is>
          <t>Standard + Reverse Holo</t>
        </is>
      </c>
      <c r="F41" t="inlineStr">
        <is>
          <t>Split into 2 physical rows</t>
        </is>
      </c>
      <c r="G41" t="inlineStr">
        <is>
          <t>VERIFIED</t>
        </is>
      </c>
      <c r="H41" t="inlineStr">
        <is>
          <t>https://bulbapedia.bulbagarden.net/wiki/Burning_Shadows_(TCG)</t>
        </is>
      </c>
      <c r="I41" t="inlineStr">
        <is>
          <t>Buy both Asako Ito versions as singles.</t>
        </is>
      </c>
      <c r="J41" t="inlineStr">
        <is>
          <t>Burning Shadows reverse-holo parallel applies.</t>
        </is>
      </c>
    </row>
    <row r="42">
      <c r="A42" t="inlineStr">
        <is>
          <t>Sun &amp; Moon</t>
        </is>
      </c>
      <c r="B42" t="inlineStr">
        <is>
          <t>Marill</t>
        </is>
      </c>
      <c r="C42" t="inlineStr">
        <is>
          <t>Burning Shadows 34/147</t>
        </is>
      </c>
      <c r="D42" t="inlineStr">
        <is>
          <t>Spanish</t>
        </is>
      </c>
      <c r="E42" t="inlineStr">
        <is>
          <t>Standard + Reverse Holo</t>
        </is>
      </c>
      <c r="F42" t="inlineStr">
        <is>
          <t>Split into 2 physical rows</t>
        </is>
      </c>
      <c r="G42" t="inlineStr">
        <is>
          <t>VERIFIED</t>
        </is>
      </c>
      <c r="H42" t="inlineStr">
        <is>
          <t>https://bulbapedia.bulbagarden.net/wiki/Burning_Shadows_(TCG)</t>
        </is>
      </c>
      <c r="I42" t="inlineStr">
        <is>
          <t>Search Marill 34/147 Español and Reverse.</t>
        </is>
      </c>
      <c r="J42" t="inlineStr">
        <is>
          <t>Spanish Burning Shadows also had reverse holos.</t>
        </is>
      </c>
    </row>
    <row r="43">
      <c r="A43" t="inlineStr">
        <is>
          <t>Sun &amp; Moon</t>
        </is>
      </c>
      <c r="B43" t="inlineStr">
        <is>
          <t>Azumarill</t>
        </is>
      </c>
      <c r="C43" t="inlineStr">
        <is>
          <t>Burning Shadows 35/147</t>
        </is>
      </c>
      <c r="D43" t="inlineStr">
        <is>
          <t>English</t>
        </is>
      </c>
      <c r="E43" t="inlineStr">
        <is>
          <t>Standard + Reverse Holo</t>
        </is>
      </c>
      <c r="F43" t="inlineStr">
        <is>
          <t>Split into 2 physical rows</t>
        </is>
      </c>
      <c r="G43" t="inlineStr">
        <is>
          <t>VERIFIED</t>
        </is>
      </c>
      <c r="H43" t="inlineStr">
        <is>
          <t>https://bulbapedia.bulbagarden.net/wiki/Burning_Shadows_(TCG)</t>
        </is>
      </c>
      <c r="I43" t="inlineStr">
        <is>
          <t>Buy both singles.</t>
        </is>
      </c>
      <c r="J43" t="inlineStr">
        <is>
          <t>Set-level reverse-holo parallel applies.</t>
        </is>
      </c>
    </row>
    <row r="44">
      <c r="A44" t="inlineStr">
        <is>
          <t>Sun &amp; Moon</t>
        </is>
      </c>
      <c r="B44" t="inlineStr">
        <is>
          <t>Azumarill</t>
        </is>
      </c>
      <c r="C44" t="inlineStr">
        <is>
          <t>Burning Shadows 35/147</t>
        </is>
      </c>
      <c r="D44" t="inlineStr">
        <is>
          <t>Spanish</t>
        </is>
      </c>
      <c r="E44" t="inlineStr">
        <is>
          <t>Standard + Reverse Holo</t>
        </is>
      </c>
      <c r="F44" t="inlineStr">
        <is>
          <t>Split into 2 physical rows</t>
        </is>
      </c>
      <c r="G44" t="inlineStr">
        <is>
          <t>VERIFIED</t>
        </is>
      </c>
      <c r="H44" t="inlineStr">
        <is>
          <t>https://bulbapedia.bulbagarden.net/wiki/Burning_Shadows_(TCG)</t>
        </is>
      </c>
      <c r="I44" t="inlineStr">
        <is>
          <t>Buy Spanish regular and reverse separately.</t>
        </is>
      </c>
      <c r="J44" t="inlineStr">
        <is>
          <t>Spanish Burning Shadows had reverse holos.</t>
        </is>
      </c>
    </row>
    <row r="45">
      <c r="A45" t="inlineStr">
        <is>
          <t>Sun &amp; Moon</t>
        </is>
      </c>
      <c r="B45" t="inlineStr">
        <is>
          <t>Marill/Azumarill</t>
        </is>
      </c>
      <c r="C45" t="inlineStr">
        <is>
          <t>To Have Seen the Battle Rainbow counterparts</t>
        </is>
      </c>
      <c r="D45" t="inlineStr">
        <is>
          <t>Japanese</t>
        </is>
      </c>
      <c r="E45" t="inlineStr">
        <is>
          <t>Unlimited only</t>
        </is>
      </c>
      <c r="F45" t="inlineStr">
        <is>
          <t>Keep 1 Japanese row per card</t>
        </is>
      </c>
      <c r="G45" t="inlineStr">
        <is>
          <t>VERIFIED</t>
        </is>
      </c>
      <c r="H45" t="inlineStr">
        <is>
          <t>https://bulbapedia.bulbagarden.net/wiki/Burning_Shadows_(TCG)</t>
        </is>
      </c>
      <c r="I45" t="inlineStr">
        <is>
          <t>Buy Japanese singles; no 1st Edition target.</t>
        </is>
      </c>
      <c r="J45" t="inlineStr">
        <is>
          <t>Japanese 1st Edition printing had ended by the Sun &amp; Moon era.</t>
        </is>
      </c>
    </row>
    <row r="46">
      <c r="A46" t="inlineStr">
        <is>
          <t>Sun &amp; Moon</t>
        </is>
      </c>
      <c r="B46" t="inlineStr">
        <is>
          <t>Marill</t>
        </is>
      </c>
      <c r="C46" t="inlineStr">
        <is>
          <t>Lost Thunder 135/214</t>
        </is>
      </c>
      <c r="D46" t="inlineStr">
        <is>
          <t>English</t>
        </is>
      </c>
      <c r="E46" t="inlineStr">
        <is>
          <t>Standard + Reverse Holo</t>
        </is>
      </c>
      <c r="F46" t="inlineStr">
        <is>
          <t>Split into 2 physical rows</t>
        </is>
      </c>
      <c r="G46" t="inlineStr">
        <is>
          <t>VERIFIED</t>
        </is>
      </c>
      <c r="H46" t="inlineStr">
        <is>
          <t>https://bulbapedia.bulbagarden.net/wiki/Lost_Thunder_(TCG)</t>
        </is>
      </c>
      <c r="I46" t="inlineStr">
        <is>
          <t>Buy both singles.</t>
        </is>
      </c>
      <c r="J46" t="inlineStr">
        <is>
          <t>English Lost Thunder cards had reverse-holo counterparts.</t>
        </is>
      </c>
    </row>
    <row r="47">
      <c r="A47" t="inlineStr">
        <is>
          <t>Sun &amp; Moon</t>
        </is>
      </c>
      <c r="B47" t="inlineStr">
        <is>
          <t>Marill</t>
        </is>
      </c>
      <c r="C47" t="inlineStr">
        <is>
          <t>Lost Thunder 135/214</t>
        </is>
      </c>
      <c r="D47" t="inlineStr">
        <is>
          <t>Spanish</t>
        </is>
      </c>
      <c r="E47" t="inlineStr">
        <is>
          <t>Standard + Reverse Holo</t>
        </is>
      </c>
      <c r="F47" t="inlineStr">
        <is>
          <t>Split into 2 physical rows</t>
        </is>
      </c>
      <c r="G47" t="inlineStr">
        <is>
          <t>VERIFIED</t>
        </is>
      </c>
      <c r="H47" t="inlineStr">
        <is>
          <t>https://bulbapedia.bulbagarden.net/wiki/Lost_Thunder_(TCG)</t>
        </is>
      </c>
      <c r="I47" t="inlineStr">
        <is>
          <t>Buy Spanish regular and reverse separately.</t>
        </is>
      </c>
      <c r="J47" t="inlineStr">
        <is>
          <t>Spanish Lost Thunder had reverse holos.</t>
        </is>
      </c>
    </row>
    <row r="48">
      <c r="A48" t="inlineStr">
        <is>
          <t>Sun &amp; Moon</t>
        </is>
      </c>
      <c r="B48" t="inlineStr">
        <is>
          <t>Azumarill</t>
        </is>
      </c>
      <c r="C48" t="inlineStr">
        <is>
          <t>Lost Thunder 136/214</t>
        </is>
      </c>
      <c r="D48" t="inlineStr">
        <is>
          <t>English</t>
        </is>
      </c>
      <c r="E48" t="inlineStr">
        <is>
          <t>Standard + Reverse Holo</t>
        </is>
      </c>
      <c r="F48" t="inlineStr">
        <is>
          <t>Split into 2 physical rows</t>
        </is>
      </c>
      <c r="G48" t="inlineStr">
        <is>
          <t>VERIFIED</t>
        </is>
      </c>
      <c r="H48" t="inlineStr">
        <is>
          <t>https://bulbapedia.bulbagarden.net/wiki/Lost_Thunder_(TCG)</t>
        </is>
      </c>
      <c r="I48" t="inlineStr">
        <is>
          <t>Buy both singles.</t>
        </is>
      </c>
      <c r="J48" t="inlineStr">
        <is>
          <t>136/214 is a Rare; reverse-holo counterpart is part of the set.</t>
        </is>
      </c>
    </row>
    <row r="49">
      <c r="A49" t="inlineStr">
        <is>
          <t>Sun &amp; Moon</t>
        </is>
      </c>
      <c r="B49" t="inlineStr">
        <is>
          <t>Azumarill</t>
        </is>
      </c>
      <c r="C49" t="inlineStr">
        <is>
          <t>Lost Thunder 136/214</t>
        </is>
      </c>
      <c r="D49" t="inlineStr">
        <is>
          <t>Spanish</t>
        </is>
      </c>
      <c r="E49" t="inlineStr">
        <is>
          <t>Standard + Reverse Holo</t>
        </is>
      </c>
      <c r="F49" t="inlineStr">
        <is>
          <t>Split into 2 physical rows</t>
        </is>
      </c>
      <c r="G49" t="inlineStr">
        <is>
          <t>VERIFIED</t>
        </is>
      </c>
      <c r="H49" t="inlineStr">
        <is>
          <t>https://bulbapedia.bulbagarden.net/wiki/Lost_Thunder_(TCG)</t>
        </is>
      </c>
      <c r="I49" t="inlineStr">
        <is>
          <t>Buy Spanish regular and reverse separately.</t>
        </is>
      </c>
      <c r="J49" t="inlineStr">
        <is>
          <t>Spanish Lost Thunder had reverse holos.</t>
        </is>
      </c>
    </row>
    <row r="50">
      <c r="A50" t="inlineStr">
        <is>
          <t>Sun &amp; Moon</t>
        </is>
      </c>
      <c r="B50" t="inlineStr">
        <is>
          <t>Marill/Azumarill</t>
        </is>
      </c>
      <c r="C50" t="inlineStr">
        <is>
          <t>Super-Burst Impact counterparts</t>
        </is>
      </c>
      <c r="D50" t="inlineStr">
        <is>
          <t>Japanese</t>
        </is>
      </c>
      <c r="E50" t="inlineStr">
        <is>
          <t>Unlimited only</t>
        </is>
      </c>
      <c r="F50" t="inlineStr">
        <is>
          <t>Keep 1 Japanese row per card</t>
        </is>
      </c>
      <c r="G50" t="inlineStr">
        <is>
          <t>VERIFIED</t>
        </is>
      </c>
      <c r="H50" t="inlineStr">
        <is>
          <t>https://bulbapedia.bulbagarden.net/wiki/Lost_Thunder_(TCG)</t>
        </is>
      </c>
      <c r="I50" t="inlineStr">
        <is>
          <t>Buy Japanese singles.</t>
        </is>
      </c>
      <c r="J50" t="inlineStr">
        <is>
          <t>Super-Burst Impact is unlimited-only.</t>
        </is>
      </c>
    </row>
    <row r="51">
      <c r="A51" t="inlineStr">
        <is>
          <t>Sword &amp; Shield</t>
        </is>
      </c>
      <c r="B51" t="inlineStr">
        <is>
          <t>Marill</t>
        </is>
      </c>
      <c r="C51" t="inlineStr">
        <is>
          <t>Fusion Strike 058/264</t>
        </is>
      </c>
      <c r="D51" t="inlineStr">
        <is>
          <t>English</t>
        </is>
      </c>
      <c r="E51" t="inlineStr">
        <is>
          <t>Standard + Reverse Holo</t>
        </is>
      </c>
      <c r="F51" t="inlineStr">
        <is>
          <t>Split into 2 physical rows</t>
        </is>
      </c>
      <c r="G51" t="inlineStr">
        <is>
          <t>VERIFIED</t>
        </is>
      </c>
      <c r="H51" t="inlineStr">
        <is>
          <t>https://bulbapedia.bulbagarden.net/wiki/Fusion_Strike_(TCG)</t>
        </is>
      </c>
      <c r="I51" t="inlineStr">
        <is>
          <t>Buy regular and reverse as singles.</t>
        </is>
      </c>
      <c r="J51" t="inlineStr">
        <is>
          <t>Fusion Strike international cards were available as reverse holos.</t>
        </is>
      </c>
    </row>
    <row r="52">
      <c r="A52" t="inlineStr">
        <is>
          <t>Sword &amp; Shield</t>
        </is>
      </c>
      <c r="B52" t="inlineStr">
        <is>
          <t>Marill</t>
        </is>
      </c>
      <c r="C52" t="inlineStr">
        <is>
          <t>Fusion Strike 058/264</t>
        </is>
      </c>
      <c r="D52" t="inlineStr">
        <is>
          <t>Spanish</t>
        </is>
      </c>
      <c r="E52" t="inlineStr">
        <is>
          <t>Standard + Reverse Holo</t>
        </is>
      </c>
      <c r="F52" t="inlineStr">
        <is>
          <t>Split into 2 physical rows</t>
        </is>
      </c>
      <c r="G52" t="inlineStr">
        <is>
          <t>VERIFIED</t>
        </is>
      </c>
      <c r="H52" t="inlineStr">
        <is>
          <t>https://bulbapedia.bulbagarden.net/wiki/Fusion_Strike_(TCG)</t>
        </is>
      </c>
      <c r="I52" t="inlineStr">
        <is>
          <t>Search Marill 058/264 Golpe Fusión / Español plus Reverse.</t>
        </is>
      </c>
      <c r="J52" t="inlineStr">
        <is>
          <t>Spanish Fusion Strike is confirmed and had reverse holos.</t>
        </is>
      </c>
    </row>
    <row r="53">
      <c r="A53" t="inlineStr">
        <is>
          <t>Sword &amp; Shield</t>
        </is>
      </c>
      <c r="B53" t="inlineStr">
        <is>
          <t>Azumarill</t>
        </is>
      </c>
      <c r="C53" t="inlineStr">
        <is>
          <t>Fusion Strike 059/264</t>
        </is>
      </c>
      <c r="D53" t="inlineStr">
        <is>
          <t>English</t>
        </is>
      </c>
      <c r="E53" t="inlineStr">
        <is>
          <t>Standard + Reverse Holo</t>
        </is>
      </c>
      <c r="F53" t="inlineStr">
        <is>
          <t>Split into 2 physical rows</t>
        </is>
      </c>
      <c r="G53" t="inlineStr">
        <is>
          <t>VERIFIED</t>
        </is>
      </c>
      <c r="H53" t="inlineStr">
        <is>
          <t>https://bulbapedia.bulbagarden.net/wiki/Fusion_Strike_(TCG)</t>
        </is>
      </c>
      <c r="I53" t="inlineStr">
        <is>
          <t>Buy both singles.</t>
        </is>
      </c>
      <c r="J53" t="inlineStr">
        <is>
          <t>Fusion Strike reverse-holo rule applies.</t>
        </is>
      </c>
    </row>
    <row r="54">
      <c r="A54" t="inlineStr">
        <is>
          <t>Sword &amp; Shield</t>
        </is>
      </c>
      <c r="B54" t="inlineStr">
        <is>
          <t>Azumarill</t>
        </is>
      </c>
      <c r="C54" t="inlineStr">
        <is>
          <t>Fusion Strike 059/264</t>
        </is>
      </c>
      <c r="D54" t="inlineStr">
        <is>
          <t>Spanish</t>
        </is>
      </c>
      <c r="E54" t="inlineStr">
        <is>
          <t>Standard + Reverse Holo</t>
        </is>
      </c>
      <c r="F54" t="inlineStr">
        <is>
          <t>Split into 2 physical rows</t>
        </is>
      </c>
      <c r="G54" t="inlineStr">
        <is>
          <t>VERIFIED</t>
        </is>
      </c>
      <c r="H54" t="inlineStr">
        <is>
          <t>https://bulbapedia.bulbagarden.net/wiki/Fusion_Strike_(TCG)</t>
        </is>
      </c>
      <c r="I54" t="inlineStr">
        <is>
          <t>Search Azumarill 059/264 Golpe Fusión / Español plus Reverse.</t>
        </is>
      </c>
      <c r="J54" t="inlineStr">
        <is>
          <t>Spanish Fusion Strike is confirmed and had reverse holos.</t>
        </is>
      </c>
    </row>
    <row r="55">
      <c r="A55" t="inlineStr">
        <is>
          <t>Sword &amp; Shield</t>
        </is>
      </c>
      <c r="B55" t="inlineStr">
        <is>
          <t>Marill/Azumarill</t>
        </is>
      </c>
      <c r="C55" t="inlineStr">
        <is>
          <t>Eevee Heroes 016/069 + 017/069</t>
        </is>
      </c>
      <c r="D55" t="inlineStr">
        <is>
          <t>Japanese</t>
        </is>
      </c>
      <c r="E55" t="inlineStr">
        <is>
          <t>Unlimited only</t>
        </is>
      </c>
      <c r="F55" t="inlineStr">
        <is>
          <t>Keep 1 Japanese set row per card</t>
        </is>
      </c>
      <c r="G55" t="inlineStr">
        <is>
          <t>VERIFIED</t>
        </is>
      </c>
      <c r="H55" t="inlineStr">
        <is>
          <t>https://bulbapedia.bulbagarden.net/wiki/Marill_(Fusion_Strike_58); https://bulbapedia.bulbagarden.net/wiki/Azumarill_(Fusion_Strike_59)</t>
        </is>
      </c>
      <c r="I55" t="inlineStr">
        <is>
          <t>Buy Japanese singles.</t>
        </is>
      </c>
      <c r="J55" t="inlineStr">
        <is>
          <t>Modern Japanese releases are unlimited-only.</t>
        </is>
      </c>
    </row>
    <row r="56">
      <c r="A56" t="inlineStr">
        <is>
          <t>Sword &amp; Shield</t>
        </is>
      </c>
      <c r="B56" t="inlineStr">
        <is>
          <t>Marill</t>
        </is>
      </c>
      <c r="C56" t="inlineStr">
        <is>
          <t>Start Deck 100 088/414</t>
        </is>
      </c>
      <c r="D56" t="inlineStr">
        <is>
          <t>Japanese</t>
        </is>
      </c>
      <c r="E56" t="inlineStr">
        <is>
          <t>Deck reprint</t>
        </is>
      </c>
      <c r="F56" t="inlineStr">
        <is>
          <t>Keep separate physical row</t>
        </is>
      </c>
      <c r="G56" t="inlineStr">
        <is>
          <t>VERIFIED</t>
        </is>
      </c>
      <c r="H56" t="inlineStr">
        <is>
          <t>https://bulbapedia.bulbagarden.net/wiki/Marill_(Fusion_Strike_58)</t>
        </is>
      </c>
      <c r="I56" t="inlineStr">
        <is>
          <t>Buy exact 088/414 single rather than sealed Start Deck 100.</t>
        </is>
      </c>
      <c r="J56" t="inlineStr">
        <is>
          <t>Separate Japanese numbered deck reprint of the Fusion Strike artwork.</t>
        </is>
      </c>
    </row>
    <row r="57">
      <c r="A57" t="inlineStr">
        <is>
          <t>Scarlet &amp; Violet</t>
        </is>
      </c>
      <c r="B57" t="inlineStr">
        <is>
          <t>Marill</t>
        </is>
      </c>
      <c r="C57" t="inlineStr">
        <is>
          <t>Paldea Evolved 044/193</t>
        </is>
      </c>
      <c r="D57" t="inlineStr">
        <is>
          <t>English</t>
        </is>
      </c>
      <c r="E57" t="inlineStr">
        <is>
          <t>Standard + Reverse Holo</t>
        </is>
      </c>
      <c r="F57" t="inlineStr">
        <is>
          <t>Split into 2 physical rows</t>
        </is>
      </c>
      <c r="G57" t="inlineStr">
        <is>
          <t>VERIFIED</t>
        </is>
      </c>
      <c r="H57" t="inlineStr">
        <is>
          <t>https://bulbapedia.bulbagarden.net/wiki/Paldea_Evolved_(TCG)</t>
        </is>
      </c>
      <c r="I57" t="inlineStr">
        <is>
          <t>Buy regular and reverse singles.</t>
        </is>
      </c>
      <c r="J57" t="inlineStr">
        <is>
          <t>Main-set common/uncommon cards use the modern reverse-holo parallel.</t>
        </is>
      </c>
    </row>
    <row r="58">
      <c r="A58" t="inlineStr">
        <is>
          <t>Scarlet &amp; Violet</t>
        </is>
      </c>
      <c r="B58" t="inlineStr">
        <is>
          <t>Marill</t>
        </is>
      </c>
      <c r="C58" t="inlineStr">
        <is>
          <t>Paldea Evolved 044/193</t>
        </is>
      </c>
      <c r="D58" t="inlineStr">
        <is>
          <t>Spanish</t>
        </is>
      </c>
      <c r="E58" t="inlineStr">
        <is>
          <t>Standard + Reverse Holo</t>
        </is>
      </c>
      <c r="F58" t="inlineStr">
        <is>
          <t>Split into 2 physical rows</t>
        </is>
      </c>
      <c r="G58" t="inlineStr">
        <is>
          <t>VERIFIED</t>
        </is>
      </c>
      <c r="H58" t="inlineStr">
        <is>
          <t>https://bulbapedia.bulbagarden.net/wiki/Paldea_Evolved_(TCG)</t>
        </is>
      </c>
      <c r="I58" t="inlineStr">
        <is>
          <t>Search Marill 044/193 Evoluciones en Paldea + Reverse.</t>
        </is>
      </c>
      <c r="J58" t="inlineStr">
        <is>
          <t>Spanish Paldea Evolved release is confirmed.</t>
        </is>
      </c>
    </row>
    <row r="59">
      <c r="A59" t="inlineStr">
        <is>
          <t>Scarlet &amp; Violet</t>
        </is>
      </c>
      <c r="B59" t="inlineStr">
        <is>
          <t>Marill</t>
        </is>
      </c>
      <c r="C59" t="inlineStr">
        <is>
          <t>Paldea Evolved 204/193</t>
        </is>
      </c>
      <c r="D59" t="inlineStr">
        <is>
          <t>English</t>
        </is>
      </c>
      <c r="E59" t="inlineStr">
        <is>
          <t>Illustration Rare</t>
        </is>
      </c>
      <c r="F59" t="inlineStr">
        <is>
          <t>Keep 1 physical row</t>
        </is>
      </c>
      <c r="G59" t="inlineStr">
        <is>
          <t>VERIFIED</t>
        </is>
      </c>
      <c r="H59" t="inlineStr">
        <is>
          <t>https://bulbapedia.bulbagarden.net/wiki/Marill_(TCG)</t>
        </is>
      </c>
      <c r="I59" t="inlineStr">
        <is>
          <t>Buy the Illustration Rare single.</t>
        </is>
      </c>
      <c r="J59" t="inlineStr">
        <is>
          <t>Secret-number Illustration Rare is its own print, not a regular/reverse pair.</t>
        </is>
      </c>
    </row>
    <row r="60">
      <c r="A60" t="inlineStr">
        <is>
          <t>Scarlet &amp; Violet</t>
        </is>
      </c>
      <c r="B60" t="inlineStr">
        <is>
          <t>Marill</t>
        </is>
      </c>
      <c r="C60" t="inlineStr">
        <is>
          <t>Paldea Evolved 204/193</t>
        </is>
      </c>
      <c r="D60" t="inlineStr">
        <is>
          <t>Spanish</t>
        </is>
      </c>
      <c r="E60" t="inlineStr">
        <is>
          <t>Illustration Rare</t>
        </is>
      </c>
      <c r="F60" t="inlineStr">
        <is>
          <t>Keep 1 physical row</t>
        </is>
      </c>
      <c r="G60" t="inlineStr">
        <is>
          <t>VERIFIED</t>
        </is>
      </c>
      <c r="H60" t="inlineStr">
        <is>
          <t>https://bulbapedia.bulbagarden.net/wiki/Paldea_Evolved_(TCG)</t>
        </is>
      </c>
      <c r="I60" t="inlineStr">
        <is>
          <t>Buy Spanish Illustration Rare single.</t>
        </is>
      </c>
      <c r="J60" t="inlineStr">
        <is>
          <t>Spanish set exists; IR is a distinct rarity rather than reverse parallel.</t>
        </is>
      </c>
    </row>
    <row r="61">
      <c r="A61" t="inlineStr">
        <is>
          <t>Scarlet &amp; Violet</t>
        </is>
      </c>
      <c r="B61" t="inlineStr">
        <is>
          <t>Azumarill</t>
        </is>
      </c>
      <c r="C61" t="inlineStr">
        <is>
          <t>Paldea Evolved 045/193</t>
        </is>
      </c>
      <c r="D61" t="inlineStr">
        <is>
          <t>English</t>
        </is>
      </c>
      <c r="E61" t="inlineStr">
        <is>
          <t>Standard + Reverse Holo</t>
        </is>
      </c>
      <c r="F61" t="inlineStr">
        <is>
          <t>Split into 2 physical rows</t>
        </is>
      </c>
      <c r="G61" t="inlineStr">
        <is>
          <t>VERIFIED</t>
        </is>
      </c>
      <c r="H61" t="inlineStr">
        <is>
          <t>https://bulbapedia.bulbagarden.net/wiki/Paldea_Evolved_(TCG)</t>
        </is>
      </c>
      <c r="I61" t="inlineStr">
        <is>
          <t>Buy regular and reverse singles.</t>
        </is>
      </c>
      <c r="J61" t="inlineStr">
        <is>
          <t>Modern main-set parallel.</t>
        </is>
      </c>
    </row>
    <row r="62">
      <c r="A62" t="inlineStr">
        <is>
          <t>Scarlet &amp; Violet</t>
        </is>
      </c>
      <c r="B62" t="inlineStr">
        <is>
          <t>Azumarill</t>
        </is>
      </c>
      <c r="C62" t="inlineStr">
        <is>
          <t>Paldea Evolved 045/193</t>
        </is>
      </c>
      <c r="D62" t="inlineStr">
        <is>
          <t>Spanish</t>
        </is>
      </c>
      <c r="E62" t="inlineStr">
        <is>
          <t>Standard + Reverse Holo</t>
        </is>
      </c>
      <c r="F62" t="inlineStr">
        <is>
          <t>Split into 2 physical rows</t>
        </is>
      </c>
      <c r="G62" t="inlineStr">
        <is>
          <t>VERIFIED</t>
        </is>
      </c>
      <c r="H62" t="inlineStr">
        <is>
          <t>https://bulbapedia.bulbagarden.net/wiki/Paldea_Evolved_(TCG)</t>
        </is>
      </c>
      <c r="I62" t="inlineStr">
        <is>
          <t>Buy Spanish regular and reverse separately.</t>
        </is>
      </c>
      <c r="J62" t="inlineStr">
        <is>
          <t>Spanish Paldea Evolved release is confirmed.</t>
        </is>
      </c>
    </row>
    <row r="63">
      <c r="A63" t="inlineStr">
        <is>
          <t>Scarlet &amp; Violet</t>
        </is>
      </c>
      <c r="B63" t="inlineStr">
        <is>
          <t>Marill/Azumarill</t>
        </is>
      </c>
      <c r="C63" t="inlineStr">
        <is>
          <t>Snow Hazard 016/071 + 017/071</t>
        </is>
      </c>
      <c r="D63" t="inlineStr">
        <is>
          <t>Japanese</t>
        </is>
      </c>
      <c r="E63" t="inlineStr">
        <is>
          <t>Unlimited only</t>
        </is>
      </c>
      <c r="F63" t="inlineStr">
        <is>
          <t>Keep 1 Japanese set row per card</t>
        </is>
      </c>
      <c r="G63" t="inlineStr">
        <is>
          <t>VERIFIED</t>
        </is>
      </c>
      <c r="H63" t="inlineStr">
        <is>
          <t>https://bulbapedia.bulbagarden.net/wiki/Paldea_Evolved_(TCG)</t>
        </is>
      </c>
      <c r="I63" t="inlineStr">
        <is>
          <t>Buy Japanese singles.</t>
        </is>
      </c>
      <c r="J63" t="inlineStr">
        <is>
          <t>Japanese Snow Hazard cards are separate source printings; no 1st Edition split.</t>
        </is>
      </c>
    </row>
    <row r="64">
      <c r="A64" t="inlineStr">
        <is>
          <t>Scarlet &amp; Violet</t>
        </is>
      </c>
      <c r="B64" t="inlineStr">
        <is>
          <t>Marill</t>
        </is>
      </c>
      <c r="C64" t="inlineStr">
        <is>
          <t>Snow Hazard 073/071</t>
        </is>
      </c>
      <c r="D64" t="inlineStr">
        <is>
          <t>Japanese</t>
        </is>
      </c>
      <c r="E64" t="inlineStr">
        <is>
          <t>Art Rare</t>
        </is>
      </c>
      <c r="F64" t="inlineStr">
        <is>
          <t>Keep 1 physical row</t>
        </is>
      </c>
      <c r="G64" t="inlineStr">
        <is>
          <t>VERIFIED</t>
        </is>
      </c>
      <c r="H64" t="inlineStr">
        <is>
          <t>https://bulbapedia.bulbagarden.net/wiki/Marill_(TCG)</t>
        </is>
      </c>
      <c r="I64" t="inlineStr">
        <is>
          <t>Buy Japanese Art Rare single.</t>
        </is>
      </c>
      <c r="J64" t="inlineStr">
        <is>
          <t>Japanese counterpart of PAL 204/193.</t>
        </is>
      </c>
    </row>
    <row r="65">
      <c r="A65" t="inlineStr">
        <is>
          <t>Scarlet &amp; Violet</t>
        </is>
      </c>
      <c r="B65" t="inlineStr">
        <is>
          <t>Marill/Azumarill</t>
        </is>
      </c>
      <c r="C65" t="inlineStr">
        <is>
          <t>Generations Start Deck Lugia ex &amp; Tyranitar ex 029/175 + 030/175</t>
        </is>
      </c>
      <c r="D65" t="inlineStr">
        <is>
          <t>Japanese</t>
        </is>
      </c>
      <c r="E65" t="inlineStr">
        <is>
          <t>Deck reprints</t>
        </is>
      </c>
      <c r="F65" t="inlineStr">
        <is>
          <t>Keep separate physical rows</t>
        </is>
      </c>
      <c r="G65" t="inlineStr">
        <is>
          <t>VERIFIED</t>
        </is>
      </c>
      <c r="H65" t="inlineStr">
        <is>
          <t>https://bulbapedia.bulbagarden.net/wiki/Marill_(TCG); https://bulbapedia.bulbagarden.net/wiki/Azumarill_(Paldea_Evolved_45)</t>
        </is>
      </c>
      <c r="I65" t="inlineStr">
        <is>
          <t>Buy exact numbered deck singles.</t>
        </is>
      </c>
      <c r="J65" t="inlineStr">
        <is>
          <t>Separate numbered Japanese deck printings.</t>
        </is>
      </c>
    </row>
    <row r="66">
      <c r="A66" t="inlineStr">
        <is>
          <t>Scarlet &amp; Violet</t>
        </is>
      </c>
      <c r="B66" t="inlineStr">
        <is>
          <t>Marill</t>
        </is>
      </c>
      <c r="C66" t="inlineStr">
        <is>
          <t>Temporal Forces 064/162</t>
        </is>
      </c>
      <c r="D66" t="inlineStr">
        <is>
          <t>English</t>
        </is>
      </c>
      <c r="E66" t="inlineStr">
        <is>
          <t>Standard + Reverse Holo</t>
        </is>
      </c>
      <c r="F66" t="inlineStr">
        <is>
          <t>Split into 2 physical rows</t>
        </is>
      </c>
      <c r="G66" t="inlineStr">
        <is>
          <t>VERIFIED</t>
        </is>
      </c>
      <c r="H66" t="inlineStr">
        <is>
          <t>https://bulbapedia.bulbagarden.net/wiki/Temporal_Forces_(TCG)</t>
        </is>
      </c>
      <c r="I66" t="inlineStr">
        <is>
          <t>Buy regular and reverse singles.</t>
        </is>
      </c>
      <c r="J66" t="inlineStr">
        <is>
          <t>No Marill-specific additional-card treatment appears in the set's additional-card list.</t>
        </is>
      </c>
    </row>
    <row r="67">
      <c r="A67" t="inlineStr">
        <is>
          <t>Scarlet &amp; Violet</t>
        </is>
      </c>
      <c r="B67" t="inlineStr">
        <is>
          <t>Marill</t>
        </is>
      </c>
      <c r="C67" t="inlineStr">
        <is>
          <t>Temporal Forces 064/162</t>
        </is>
      </c>
      <c r="D67" t="inlineStr">
        <is>
          <t>Spanish</t>
        </is>
      </c>
      <c r="E67" t="inlineStr">
        <is>
          <t>Standard + Reverse Holo</t>
        </is>
      </c>
      <c r="F67" t="inlineStr">
        <is>
          <t>Split into 2 physical rows</t>
        </is>
      </c>
      <c r="G67" t="inlineStr">
        <is>
          <t>VERIFIED</t>
        </is>
      </c>
      <c r="H67" t="inlineStr">
        <is>
          <t>https://bulbapedia.bulbagarden.net/wiki/Temporal_Forces_(TCG)</t>
        </is>
      </c>
      <c r="I67" t="inlineStr">
        <is>
          <t>Search 064/162 Fuerzas Temporales + Reverse.</t>
        </is>
      </c>
      <c r="J67" t="inlineStr">
        <is>
          <t>Spanish release confirmed.</t>
        </is>
      </c>
    </row>
    <row r="68">
      <c r="A68" t="inlineStr">
        <is>
          <t>Scarlet &amp; Violet</t>
        </is>
      </c>
      <c r="B68" t="inlineStr">
        <is>
          <t>Azumarill</t>
        </is>
      </c>
      <c r="C68" t="inlineStr">
        <is>
          <t>Temporal Forces 065/162</t>
        </is>
      </c>
      <c r="D68" t="inlineStr">
        <is>
          <t>English</t>
        </is>
      </c>
      <c r="E68" t="inlineStr">
        <is>
          <t>Standard + Reverse Holo</t>
        </is>
      </c>
      <c r="F68" t="inlineStr">
        <is>
          <t>Split into 2 physical rows</t>
        </is>
      </c>
      <c r="G68" t="inlineStr">
        <is>
          <t>VERIFIED</t>
        </is>
      </c>
      <c r="H68" t="inlineStr">
        <is>
          <t>https://bulbapedia.bulbagarden.net/wiki/Temporal_Forces_(TCG)</t>
        </is>
      </c>
      <c r="I68" t="inlineStr">
        <is>
          <t>Buy both singles.</t>
        </is>
      </c>
      <c r="J68" t="inlineStr">
        <is>
          <t>No Azumarill-specific additional-card treatment appears in the set list.</t>
        </is>
      </c>
    </row>
    <row r="69">
      <c r="A69" t="inlineStr">
        <is>
          <t>Scarlet &amp; Violet</t>
        </is>
      </c>
      <c r="B69" t="inlineStr">
        <is>
          <t>Azumarill</t>
        </is>
      </c>
      <c r="C69" t="inlineStr">
        <is>
          <t>Temporal Forces 065/162</t>
        </is>
      </c>
      <c r="D69" t="inlineStr">
        <is>
          <t>Spanish</t>
        </is>
      </c>
      <c r="E69" t="inlineStr">
        <is>
          <t>Standard + Reverse Holo</t>
        </is>
      </c>
      <c r="F69" t="inlineStr">
        <is>
          <t>Split into 2 physical rows</t>
        </is>
      </c>
      <c r="G69" t="inlineStr">
        <is>
          <t>VERIFIED</t>
        </is>
      </c>
      <c r="H69" t="inlineStr">
        <is>
          <t>https://bulbapedia.bulbagarden.net/wiki/Temporal_Forces_(TCG)</t>
        </is>
      </c>
      <c r="I69" t="inlineStr">
        <is>
          <t>Buy Spanish regular and reverse separately.</t>
        </is>
      </c>
      <c r="J69" t="inlineStr">
        <is>
          <t>Spanish release confirmed.</t>
        </is>
      </c>
    </row>
    <row r="70">
      <c r="A70" t="inlineStr">
        <is>
          <t>Scarlet &amp; Violet</t>
        </is>
      </c>
      <c r="B70" t="inlineStr">
        <is>
          <t>Marill/Azumarill</t>
        </is>
      </c>
      <c r="C70" t="inlineStr">
        <is>
          <t>Wild Force 026/071 + 027/071</t>
        </is>
      </c>
      <c r="D70" t="inlineStr">
        <is>
          <t>Japanese</t>
        </is>
      </c>
      <c r="E70" t="inlineStr">
        <is>
          <t>Unlimited only</t>
        </is>
      </c>
      <c r="F70" t="inlineStr">
        <is>
          <t>Keep 1 Japanese row per card</t>
        </is>
      </c>
      <c r="G70" t="inlineStr">
        <is>
          <t>VERIFIED</t>
        </is>
      </c>
      <c r="H70" t="inlineStr">
        <is>
          <t>https://bulbapedia.bulbagarden.net/wiki/Temporal_Forces_(TCG)</t>
        </is>
      </c>
      <c r="I70" t="inlineStr">
        <is>
          <t>Buy Japanese singles.</t>
        </is>
      </c>
      <c r="J70" t="inlineStr">
        <is>
          <t>No edition split.</t>
        </is>
      </c>
    </row>
    <row r="71">
      <c r="A71" t="inlineStr">
        <is>
          <t>Scarlet &amp; Violet</t>
        </is>
      </c>
      <c r="B71" t="inlineStr">
        <is>
          <t>Marill</t>
        </is>
      </c>
      <c r="C71" t="inlineStr">
        <is>
          <t>Stellar Crown 033/142</t>
        </is>
      </c>
      <c r="D71" t="inlineStr">
        <is>
          <t>English</t>
        </is>
      </c>
      <c r="E71" t="inlineStr">
        <is>
          <t>Standard + Reverse Holo</t>
        </is>
      </c>
      <c r="F71" t="inlineStr">
        <is>
          <t>Split into 2 physical rows</t>
        </is>
      </c>
      <c r="G71" t="inlineStr">
        <is>
          <t>VERIFIED</t>
        </is>
      </c>
      <c r="H71" t="inlineStr">
        <is>
          <t>https://bulbapedia.bulbagarden.net/wiki/Stellar_Crown_(TCG)</t>
        </is>
      </c>
      <c r="I71" t="inlineStr">
        <is>
          <t>Buy regular and reverse singles.</t>
        </is>
      </c>
      <c r="J71" t="inlineStr">
        <is>
          <t>No Marill-specific additional English printing is listed.</t>
        </is>
      </c>
    </row>
    <row r="72">
      <c r="A72" t="inlineStr">
        <is>
          <t>Scarlet &amp; Violet</t>
        </is>
      </c>
      <c r="B72" t="inlineStr">
        <is>
          <t>Marill</t>
        </is>
      </c>
      <c r="C72" t="inlineStr">
        <is>
          <t>Stellar Crown 033/142</t>
        </is>
      </c>
      <c r="D72" t="inlineStr">
        <is>
          <t>Spanish</t>
        </is>
      </c>
      <c r="E72" t="inlineStr">
        <is>
          <t>Standard + Reverse Holo</t>
        </is>
      </c>
      <c r="F72" t="inlineStr">
        <is>
          <t>Split into 2 physical rows</t>
        </is>
      </c>
      <c r="G72" t="inlineStr">
        <is>
          <t>VERIFIED</t>
        </is>
      </c>
      <c r="H72" t="inlineStr">
        <is>
          <t>https://bulbapedia.bulbagarden.net/wiki/Stellar_Crown_(TCG)</t>
        </is>
      </c>
      <c r="I72" t="inlineStr">
        <is>
          <t>Buy Spanish regular and reverse separately.</t>
        </is>
      </c>
      <c r="J72" t="inlineStr">
        <is>
          <t>Spanish Stellar Crown exists.</t>
        </is>
      </c>
    </row>
    <row r="73">
      <c r="A73" t="inlineStr">
        <is>
          <t>Scarlet &amp; Violet</t>
        </is>
      </c>
      <c r="B73" t="inlineStr">
        <is>
          <t>Azumarill</t>
        </is>
      </c>
      <c r="C73" t="inlineStr">
        <is>
          <t>Stellar Crown 034/142</t>
        </is>
      </c>
      <c r="D73" t="inlineStr">
        <is>
          <t>English</t>
        </is>
      </c>
      <c r="E73" t="inlineStr">
        <is>
          <t>Standard + Reverse Holo</t>
        </is>
      </c>
      <c r="F73" t="inlineStr">
        <is>
          <t>Split into 2 physical rows</t>
        </is>
      </c>
      <c r="G73" t="inlineStr">
        <is>
          <t>VERIFIED</t>
        </is>
      </c>
      <c r="H73" t="inlineStr">
        <is>
          <t>https://bulbapedia.bulbagarden.net/wiki/Stellar_Crown_(TCG)</t>
        </is>
      </c>
      <c r="I73" t="inlineStr">
        <is>
          <t>Buy regular and reverse singles.</t>
        </is>
      </c>
      <c r="J73" t="inlineStr">
        <is>
          <t>No Azumarill-specific additional English printing is listed.</t>
        </is>
      </c>
    </row>
    <row r="74">
      <c r="A74" t="inlineStr">
        <is>
          <t>Scarlet &amp; Violet</t>
        </is>
      </c>
      <c r="B74" t="inlineStr">
        <is>
          <t>Azumarill</t>
        </is>
      </c>
      <c r="C74" t="inlineStr">
        <is>
          <t>Stellar Crown 034/142</t>
        </is>
      </c>
      <c r="D74" t="inlineStr">
        <is>
          <t>Spanish</t>
        </is>
      </c>
      <c r="E74" t="inlineStr">
        <is>
          <t>Standard + Reverse Holo</t>
        </is>
      </c>
      <c r="F74" t="inlineStr">
        <is>
          <t>Split into 2 physical rows</t>
        </is>
      </c>
      <c r="G74" t="inlineStr">
        <is>
          <t>VERIFIED</t>
        </is>
      </c>
      <c r="H74" t="inlineStr">
        <is>
          <t>https://bulbapedia.bulbagarden.net/wiki/Stellar_Crown_(TCG)</t>
        </is>
      </c>
      <c r="I74" t="inlineStr">
        <is>
          <t>Buy Spanish regular and reverse separately.</t>
        </is>
      </c>
      <c r="J74" t="inlineStr">
        <is>
          <t>Spanish Stellar Crown exists.</t>
        </is>
      </c>
    </row>
    <row r="75">
      <c r="A75" t="inlineStr">
        <is>
          <t>Scarlet &amp; Violet</t>
        </is>
      </c>
      <c r="B75" t="inlineStr">
        <is>
          <t>Marill/Azumarill</t>
        </is>
      </c>
      <c r="C75" t="inlineStr">
        <is>
          <t>Pokémon Card Game Battle Academy 013/066 + 014/066</t>
        </is>
      </c>
      <c r="D75" t="inlineStr">
        <is>
          <t>Japanese</t>
        </is>
      </c>
      <c r="E75" t="inlineStr">
        <is>
          <t>Greninja-stamped deck printings</t>
        </is>
      </c>
      <c r="F75" t="inlineStr">
        <is>
          <t>Keep each as separate physical row</t>
        </is>
      </c>
      <c r="G75" t="inlineStr">
        <is>
          <t>VERIFIED</t>
        </is>
      </c>
      <c r="H75" t="inlineStr">
        <is>
          <t>https://bulbapedia.bulbagarden.net/wiki/Marill_(Stellar_Crown_33); https://bulbapedia.bulbagarden.net/wiki/Azumarill_(Stellar_Crown_34)</t>
        </is>
      </c>
      <c r="I75" t="inlineStr">
        <is>
          <t>Buy exact Battle Academy singles.</t>
        </is>
      </c>
      <c r="J75" t="inlineStr">
        <is>
          <t>Both Japanese cards are explicitly printed with a Greninja stamp.</t>
        </is>
      </c>
    </row>
    <row r="76">
      <c r="A76" t="inlineStr">
        <is>
          <t>Scarlet &amp; Violet</t>
        </is>
      </c>
      <c r="B76" t="inlineStr">
        <is>
          <t>Marill</t>
        </is>
      </c>
      <c r="C76" t="inlineStr">
        <is>
          <t>Surging Sparks 073/191</t>
        </is>
      </c>
      <c r="D76" t="inlineStr">
        <is>
          <t>English</t>
        </is>
      </c>
      <c r="E76" t="inlineStr">
        <is>
          <t>Standard + Reverse Holo</t>
        </is>
      </c>
      <c r="F76" t="inlineStr">
        <is>
          <t>Split into 2 physical rows</t>
        </is>
      </c>
      <c r="G76" t="inlineStr">
        <is>
          <t>VERIFIED</t>
        </is>
      </c>
      <c r="H76" t="inlineStr">
        <is>
          <t>https://bulbapedia.bulbagarden.net/wiki/Surging_Sparks_(TCG)</t>
        </is>
      </c>
      <c r="I76" t="inlineStr">
        <is>
          <t>Buy regular and reverse singles.</t>
        </is>
      </c>
      <c r="J76" t="inlineStr">
        <is>
          <t>No Marill-specific extra printing appears in the Surging Sparks additional-card list.</t>
        </is>
      </c>
    </row>
    <row r="77">
      <c r="A77" t="inlineStr">
        <is>
          <t>Scarlet &amp; Violet</t>
        </is>
      </c>
      <c r="B77" t="inlineStr">
        <is>
          <t>Marill</t>
        </is>
      </c>
      <c r="C77" t="inlineStr">
        <is>
          <t>Surging Sparks 073/191</t>
        </is>
      </c>
      <c r="D77" t="inlineStr">
        <is>
          <t>Spanish</t>
        </is>
      </c>
      <c r="E77" t="inlineStr">
        <is>
          <t>Standard + Reverse Holo</t>
        </is>
      </c>
      <c r="F77" t="inlineStr">
        <is>
          <t>Split into 2 physical rows</t>
        </is>
      </c>
      <c r="G77" t="inlineStr">
        <is>
          <t>VERIFIED</t>
        </is>
      </c>
      <c r="H77" t="inlineStr">
        <is>
          <t>https://bulbapedia.bulbagarden.net/wiki/Surging_Sparks_(TCG)</t>
        </is>
      </c>
      <c r="I77" t="inlineStr">
        <is>
          <t>Search Marill 073/191 Chispas Fulgurantes / Spanish + Reverse.</t>
        </is>
      </c>
      <c r="J77" t="inlineStr">
        <is>
          <t>Spanish release confirmed.</t>
        </is>
      </c>
    </row>
    <row r="78">
      <c r="A78" t="inlineStr">
        <is>
          <t>Scarlet &amp; Violet</t>
        </is>
      </c>
      <c r="B78" t="inlineStr">
        <is>
          <t>Azumarill</t>
        </is>
      </c>
      <c r="C78" t="inlineStr">
        <is>
          <t>Surging Sparks 074/191</t>
        </is>
      </c>
      <c r="D78" t="inlineStr">
        <is>
          <t>English</t>
        </is>
      </c>
      <c r="E78" t="inlineStr">
        <is>
          <t>Standard + Reverse Holo</t>
        </is>
      </c>
      <c r="F78" t="inlineStr">
        <is>
          <t>Split into 2 physical rows</t>
        </is>
      </c>
      <c r="G78" t="inlineStr">
        <is>
          <t>VERIFIED</t>
        </is>
      </c>
      <c r="H78" t="inlineStr">
        <is>
          <t>https://bulbapedia.bulbagarden.net/wiki/Surging_Sparks_(TCG)</t>
        </is>
      </c>
      <c r="I78" t="inlineStr">
        <is>
          <t>Buy both singles.</t>
        </is>
      </c>
      <c r="J78" t="inlineStr">
        <is>
          <t>No Azumarill-specific extra printing appears in the set's additional-card list.</t>
        </is>
      </c>
    </row>
    <row r="79">
      <c r="A79" t="inlineStr">
        <is>
          <t>Scarlet &amp; Violet</t>
        </is>
      </c>
      <c r="B79" t="inlineStr">
        <is>
          <t>Azumarill</t>
        </is>
      </c>
      <c r="C79" t="inlineStr">
        <is>
          <t>Surging Sparks 074/191</t>
        </is>
      </c>
      <c r="D79" t="inlineStr">
        <is>
          <t>Spanish</t>
        </is>
      </c>
      <c r="E79" t="inlineStr">
        <is>
          <t>Standard + Reverse Holo</t>
        </is>
      </c>
      <c r="F79" t="inlineStr">
        <is>
          <t>Split into 2 physical rows</t>
        </is>
      </c>
      <c r="G79" t="inlineStr">
        <is>
          <t>VERIFIED</t>
        </is>
      </c>
      <c r="H79" t="inlineStr">
        <is>
          <t>https://bulbapedia.bulbagarden.net/wiki/Surging_Sparks_(TCG)</t>
        </is>
      </c>
      <c r="I79" t="inlineStr">
        <is>
          <t>Buy Spanish regular and reverse separately.</t>
        </is>
      </c>
      <c r="J79" t="inlineStr">
        <is>
          <t>Spanish release confirmed.</t>
        </is>
      </c>
    </row>
    <row r="80">
      <c r="A80" t="inlineStr">
        <is>
          <t>Scarlet &amp; Violet</t>
        </is>
      </c>
      <c r="B80" t="inlineStr">
        <is>
          <t>Marill/Azumarill</t>
        </is>
      </c>
      <c r="C80" t="inlineStr">
        <is>
          <t>Stellar Tera Type Starter Set Sylveon ex 003/022 + 004/022</t>
        </is>
      </c>
      <c r="D80" t="inlineStr">
        <is>
          <t>Japanese</t>
        </is>
      </c>
      <c r="E80" t="inlineStr">
        <is>
          <t>Deck-original printings</t>
        </is>
      </c>
      <c r="F80" t="inlineStr">
        <is>
          <t>Keep separate physical rows</t>
        </is>
      </c>
      <c r="G80" t="inlineStr">
        <is>
          <t>VERIFIED</t>
        </is>
      </c>
      <c r="H80" t="inlineStr">
        <is>
          <t>https://bulbapedia.bulbagarden.net/wiki/Stellar_Tera_Type_Starter_Sets_(TCG)</t>
        </is>
      </c>
      <c r="I80" t="inlineStr">
        <is>
          <t>Buy exact Japanese deck singles.</t>
        </is>
      </c>
      <c r="J80" t="inlineStr">
        <is>
          <t>These deck cards were later included in English Surging Sparks.</t>
        </is>
      </c>
    </row>
    <row r="81">
      <c r="A81" t="inlineStr">
        <is>
          <t>Scarlet &amp; Violet</t>
        </is>
      </c>
      <c r="B81" t="inlineStr">
        <is>
          <t>Marill/Azumarill</t>
        </is>
      </c>
      <c r="C81" t="inlineStr">
        <is>
          <t>Start Deck 100 Battle Collection 294/742 + 296/742</t>
        </is>
      </c>
      <c r="D81" t="inlineStr">
        <is>
          <t>Japanese</t>
        </is>
      </c>
      <c r="E81" t="inlineStr">
        <is>
          <t>Deck reprints</t>
        </is>
      </c>
      <c r="F81" t="inlineStr">
        <is>
          <t>Keep separate physical rows</t>
        </is>
      </c>
      <c r="G81" t="inlineStr">
        <is>
          <t>VERIFIED</t>
        </is>
      </c>
      <c r="H81" t="inlineStr">
        <is>
          <t>https://bulbapedia.bulbagarden.net/wiki/Marill_(Surging_Sparks_73); https://bulbapedia.bulbagarden.net/wiki/Azumarill_(Surging_Sparks_74)</t>
        </is>
      </c>
      <c r="I81" t="inlineStr">
        <is>
          <t>Buy exact numbered singles.</t>
        </is>
      </c>
      <c r="J81" t="inlineStr">
        <is>
          <t>Separate Japanese reprints of the Surging Sparks artwork.</t>
        </is>
      </c>
    </row>
    <row r="82">
      <c r="A82" t="inlineStr">
        <is>
          <t>Current</t>
        </is>
      </c>
      <c r="B82" t="inlineStr">
        <is>
          <t>Marill</t>
        </is>
      </c>
      <c r="C82" t="inlineStr">
        <is>
          <t>Ascended Heroes 083/217</t>
        </is>
      </c>
      <c r="D82" t="inlineStr">
        <is>
          <t>English</t>
        </is>
      </c>
      <c r="E82" t="inlineStr">
        <is>
          <t>Regular print</t>
        </is>
      </c>
      <c r="F82" t="inlineStr">
        <is>
          <t>Keep 1 row pending parallel check</t>
        </is>
      </c>
      <c r="G82" t="inlineStr">
        <is>
          <t>PARTIAL</t>
        </is>
      </c>
      <c r="H82" t="inlineStr">
        <is>
          <t>https://bulbapedia.bulbagarden.net/wiki/Marill_(Ascended_Heroes_83)</t>
        </is>
      </c>
      <c r="I82" t="inlineStr">
        <is>
          <t>Current-era single is preferable to pack chasing for completion.</t>
        </is>
      </c>
      <c r="J82" t="inlineStr">
        <is>
          <t>Card is confirmed; exact international parallel treatment needs one more source check.</t>
        </is>
      </c>
    </row>
    <row r="83">
      <c r="A83" t="inlineStr">
        <is>
          <t>Current</t>
        </is>
      </c>
      <c r="B83" t="inlineStr">
        <is>
          <t>Marill</t>
        </is>
      </c>
      <c r="C83" t="inlineStr">
        <is>
          <t>Ascended Heroes 232/217</t>
        </is>
      </c>
      <c r="D83" t="inlineStr">
        <is>
          <t>English</t>
        </is>
      </c>
      <c r="E83" t="inlineStr">
        <is>
          <t>Illustration Rare</t>
        </is>
      </c>
      <c r="F83" t="inlineStr">
        <is>
          <t>Keep 1 physical row</t>
        </is>
      </c>
      <c r="G83" t="inlineStr">
        <is>
          <t>VERIFIED</t>
        </is>
      </c>
      <c r="H83" t="inlineStr">
        <is>
          <t>https://bulbapedia.bulbagarden.net/wiki/Marill_(Ascended_Heroes_232)</t>
        </is>
      </c>
      <c r="I83" t="inlineStr">
        <is>
          <t>Buy the Illustration Rare single.</t>
        </is>
      </c>
      <c r="J83" t="inlineStr">
        <is>
          <t>Distinct Illustration Rare artwork.</t>
        </is>
      </c>
    </row>
    <row r="84">
      <c r="A84" t="inlineStr">
        <is>
          <t>Current</t>
        </is>
      </c>
      <c r="B84" t="inlineStr">
        <is>
          <t>Marill</t>
        </is>
      </c>
      <c r="C84" t="inlineStr">
        <is>
          <t>Ascended Heroes Spanish</t>
        </is>
      </c>
      <c r="D84" t="inlineStr">
        <is>
          <t>Spanish</t>
        </is>
      </c>
      <c r="E84" t="inlineStr">
        <is>
          <t>No Spanish language shown on current card record</t>
        </is>
      </c>
      <c r="F84" t="inlineStr">
        <is>
          <t>Move Spanish rows to VERIFY / do not require yet</t>
        </is>
      </c>
      <c r="G84" t="inlineStr">
        <is>
          <t>CONFLICT</t>
        </is>
      </c>
      <c r="H84" t="inlineStr">
        <is>
          <t>https://bulbapedia.bulbagarden.net/wiki/Marill_(Ascended_Heroes_83)</t>
        </is>
      </c>
      <c r="I84" t="inlineStr">
        <is>
          <t>Do not hunt Spanish Marill Ascended Heroes until physical release is confirmed.</t>
        </is>
      </c>
      <c r="J84" t="inlineStr">
        <is>
          <t>Current card record lists German/French/Japanese/Chinese but not Spanish.</t>
        </is>
      </c>
    </row>
    <row r="85">
      <c r="A85" t="inlineStr">
        <is>
          <t>Current</t>
        </is>
      </c>
      <c r="B85" t="inlineStr">
        <is>
          <t>Azumarill ex</t>
        </is>
      </c>
      <c r="C85" t="inlineStr">
        <is>
          <t>Ascended Heroes 084/217</t>
        </is>
      </c>
      <c r="D85" t="inlineStr">
        <is>
          <t>English</t>
        </is>
      </c>
      <c r="E85" t="inlineStr">
        <is>
          <t>Pokémon ex print</t>
        </is>
      </c>
      <c r="F85" t="inlineStr">
        <is>
          <t>Keep 1 row pending parallel check</t>
        </is>
      </c>
      <c r="G85" t="inlineStr">
        <is>
          <t>PARTIAL</t>
        </is>
      </c>
      <c r="H85" t="inlineStr">
        <is>
          <t>https://bulbapedia.bulbagarden.net/wiki/Azumarill_ex_(Ascended_Heroes_84)</t>
        </is>
      </c>
      <c r="I85" t="inlineStr">
        <is>
          <t>Buy the single.</t>
        </is>
      </c>
      <c r="J85" t="inlineStr">
        <is>
          <t>Card confirmed; exact parallel treatment still needs final check.</t>
        </is>
      </c>
    </row>
    <row r="86">
      <c r="A86" t="inlineStr">
        <is>
          <t>Current</t>
        </is>
      </c>
      <c r="B86" t="inlineStr">
        <is>
          <t>Azumarill ex</t>
        </is>
      </c>
      <c r="C86" t="inlineStr">
        <is>
          <t>Ascended Heroes 084/217</t>
        </is>
      </c>
      <c r="D86" t="inlineStr">
        <is>
          <t>Spanish</t>
        </is>
      </c>
      <c r="E86" t="inlineStr">
        <is>
          <t>Pokémon ex print</t>
        </is>
      </c>
      <c r="F86" t="inlineStr">
        <is>
          <t>Keep Spanish row</t>
        </is>
      </c>
      <c r="G86" t="inlineStr">
        <is>
          <t>VERIFIED</t>
        </is>
      </c>
      <c r="H86" t="inlineStr">
        <is>
          <t>https://bulbapedia.bulbagarden.net/wiki/Azumarill_ex_(Ascended_Heroes_84)</t>
        </is>
      </c>
      <c r="I86" t="inlineStr">
        <is>
          <t>Buy Spanish single.</t>
        </is>
      </c>
      <c r="J86" t="inlineStr">
        <is>
          <t>Current card record explicitly includes Spanish.</t>
        </is>
      </c>
    </row>
    <row r="87">
      <c r="A87" t="inlineStr">
        <is>
          <t>Current</t>
        </is>
      </c>
      <c r="B87" t="inlineStr">
        <is>
          <t>Marill/Azumarill ex</t>
        </is>
      </c>
      <c r="C87" t="inlineStr">
        <is>
          <t>Start Deck 100 Battle Collection 295/742, 748/742, 297/742</t>
        </is>
      </c>
      <c r="D87" t="inlineStr">
        <is>
          <t>Japanese</t>
        </is>
      </c>
      <c r="E87" t="inlineStr">
        <is>
          <t>Distinct numbered deck prints</t>
        </is>
      </c>
      <c r="F87" t="inlineStr">
        <is>
          <t>Keep separate physical rows</t>
        </is>
      </c>
      <c r="G87" t="inlineStr">
        <is>
          <t>VERIFIED</t>
        </is>
      </c>
      <c r="H87" t="inlineStr">
        <is>
          <t>https://bulbapedia.bulbagarden.net/wiki/Marill_(Ascended_Heroes_83); https://bulbapedia.bulbagarden.net/wiki/Azumarill_ex_(Ascended_Heroes_84)</t>
        </is>
      </c>
      <c r="I87" t="inlineStr">
        <is>
          <t>Buy exact Japanese singles.</t>
        </is>
      </c>
      <c r="J87" t="inlineStr">
        <is>
          <t>Marill has regular 295/742 and Art Rare 748/742; Azumarill ex is 297/742.</t>
        </is>
      </c>
    </row>
    <row r="88">
      <c r="A88" t="inlineStr">
        <is>
          <t>Vintage special</t>
        </is>
      </c>
      <c r="B88" t="inlineStr">
        <is>
          <t>Marill</t>
        </is>
      </c>
      <c r="C88" t="inlineStr">
        <is>
          <t>Wizards Black Star Promo 29</t>
        </is>
      </c>
      <c r="D88" t="inlineStr">
        <is>
          <t>English</t>
        </is>
      </c>
      <c r="E88" t="inlineStr">
        <is>
          <t>Promo 29</t>
        </is>
      </c>
      <c r="F88" t="inlineStr">
        <is>
          <t>Keep distinct physical row</t>
        </is>
      </c>
      <c r="G88" t="inlineStr">
        <is>
          <t>VERIFIED</t>
        </is>
      </c>
      <c r="H88" t="inlineStr">
        <is>
          <t>https://bulbapedia.bulbagarden.net/wiki/Marill_(Wizards_Promo_29)</t>
        </is>
      </c>
      <c r="I88" t="inlineStr">
        <is>
          <t>Buy as a single; widely searchable by 'Marill promo 29'.</t>
        </is>
      </c>
      <c r="J88" t="inlineStr">
        <is>
          <t>Same core artwork lineage as Japanese CoroCoro/Pokémon Web, but English Neo-layout promo is physically distinct.</t>
        </is>
      </c>
    </row>
    <row r="89">
      <c r="A89" t="inlineStr">
        <is>
          <t>Vintage special</t>
        </is>
      </c>
      <c r="B89" t="inlineStr">
        <is>
          <t>Marill</t>
        </is>
      </c>
      <c r="C89" t="inlineStr">
        <is>
          <t>CoroCoro July 1999 insert</t>
        </is>
      </c>
      <c r="D89" t="inlineStr">
        <is>
          <t>Japanese</t>
        </is>
      </c>
      <c r="E89" t="inlineStr">
        <is>
          <t>Unnumbered Original Series promo</t>
        </is>
      </c>
      <c r="F89" t="inlineStr">
        <is>
          <t>Keep distinct physical row</t>
        </is>
      </c>
      <c r="G89" t="inlineStr">
        <is>
          <t>VERIFIED</t>
        </is>
      </c>
      <c r="H89" t="inlineStr">
        <is>
          <t>https://bulbapedia.bulbagarden.net/wiki/Marill_(Wizards_Promo_29)</t>
        </is>
      </c>
      <c r="I89" t="inlineStr">
        <is>
          <t>Search Japanese Marill CoroCoro 1999 unnumbered.</t>
        </is>
      </c>
      <c r="J89" t="inlineStr">
        <is>
          <t>Released on an insert in the July 1999 CoroCoro issue; Original Series layout.</t>
        </is>
      </c>
    </row>
    <row r="90">
      <c r="A90" t="inlineStr">
        <is>
          <t>Vintage special</t>
        </is>
      </c>
      <c r="B90" t="inlineStr">
        <is>
          <t>Marill</t>
        </is>
      </c>
      <c r="C90" t="inlineStr">
        <is>
          <t>Pokémon Web 010/048</t>
        </is>
      </c>
      <c r="D90" t="inlineStr">
        <is>
          <t>Japanese</t>
        </is>
      </c>
      <c r="E90" t="inlineStr">
        <is>
          <t>e-Card Series reprint</t>
        </is>
      </c>
      <c r="F90" t="inlineStr">
        <is>
          <t>Keep distinct physical row</t>
        </is>
      </c>
      <c r="G90" t="inlineStr">
        <is>
          <t>VERIFIED</t>
        </is>
      </c>
      <c r="H90" t="inlineStr">
        <is>
          <t>https://bulbapedia.bulbagarden.net/wiki/Marill_(Wizards_Promo_29)</t>
        </is>
      </c>
      <c r="I90" t="inlineStr">
        <is>
          <t>Search Marill 010/048 Pokémon Web.</t>
        </is>
      </c>
      <c r="J90" t="inlineStr">
        <is>
          <t>Same underlying card reprinted with a physically different e-Card layout.</t>
        </is>
      </c>
    </row>
    <row r="91">
      <c r="A91" t="inlineStr">
        <is>
          <t>Vintage special</t>
        </is>
      </c>
      <c r="B91" t="inlineStr">
        <is>
          <t>Marill</t>
        </is>
      </c>
      <c r="C91" t="inlineStr">
        <is>
          <t>ANA Get in a Jet! 2000</t>
        </is>
      </c>
      <c r="D91" t="inlineStr">
        <is>
          <t>Japanese</t>
        </is>
      </c>
      <c r="E91" t="inlineStr">
        <is>
          <t>Unnumbered ANA special 2000 promo</t>
        </is>
      </c>
      <c r="F91" t="inlineStr">
        <is>
          <t>Keep distinct physical row</t>
        </is>
      </c>
      <c r="G91" t="inlineStr">
        <is>
          <t>VERIFIED</t>
        </is>
      </c>
      <c r="H91" t="inlineStr">
        <is>
          <t>https://bulbapedia.bulbagarden.net/wiki/Marill_(ANA_promo)</t>
        </is>
      </c>
      <c r="I91" t="inlineStr">
        <is>
          <t>Saved-search item; buy single from Japanese vintage/promo seller.</t>
        </is>
      </c>
      <c r="J91" t="inlineStr">
        <is>
          <t>Distributed through ANA's July-August 2000 campaign; border explicitly says ANA special 2000 version.</t>
        </is>
      </c>
    </row>
    <row r="92">
      <c r="A92" t="inlineStr">
        <is>
          <t>Vintage special</t>
        </is>
      </c>
      <c r="B92" t="inlineStr">
        <is>
          <t>Marill</t>
        </is>
      </c>
      <c r="C92" t="inlineStr">
        <is>
          <t>Southern Islands 11/18</t>
        </is>
      </c>
      <c r="D92" t="inlineStr">
        <is>
          <t>English</t>
        </is>
      </c>
      <c r="E92" t="inlineStr">
        <is>
          <t>English Southern Islands print</t>
        </is>
      </c>
      <c r="F92" t="inlineStr">
        <is>
          <t>Keep distinct physical row</t>
        </is>
      </c>
      <c r="G92" t="inlineStr">
        <is>
          <t>VERIFIED</t>
        </is>
      </c>
      <c r="H92" t="inlineStr">
        <is>
          <t>https://bulbapedia.bulbagarden.net/wiki/Southern_Islands_(TCG)</t>
        </is>
      </c>
      <c r="I92" t="inlineStr">
        <is>
          <t>Buy loose single unless you specifically want the full folder.</t>
        </is>
      </c>
      <c r="J92" t="inlineStr">
        <is>
          <t>English collection is its own Neo-layout physical release.</t>
        </is>
      </c>
    </row>
    <row r="93">
      <c r="A93" t="inlineStr">
        <is>
          <t>Vintage special</t>
        </is>
      </c>
      <c r="B93" t="inlineStr">
        <is>
          <t>Marill</t>
        </is>
      </c>
      <c r="C93" t="inlineStr">
        <is>
          <t>Southern Islands Sea</t>
        </is>
      </c>
      <c r="D93" t="inlineStr">
        <is>
          <t>Japanese</t>
        </is>
      </c>
      <c r="E93" t="inlineStr">
        <is>
          <t>Unnumbered Japanese Southern Islands print</t>
        </is>
      </c>
      <c r="F93" t="inlineStr">
        <is>
          <t>Keep distinct physical row</t>
        </is>
      </c>
      <c r="G93" t="inlineStr">
        <is>
          <t>VERIFIED</t>
        </is>
      </c>
      <c r="H93" t="inlineStr">
        <is>
          <t>https://bulbapedia.bulbagarden.net/wiki/Southern_Islands_(TCG)</t>
        </is>
      </c>
      <c r="I93" t="inlineStr">
        <is>
          <t>Search Japanese Southern Islands Marill Sea.</t>
        </is>
      </c>
      <c r="J93" t="inlineStr">
        <is>
          <t>Japanese release is unlimited-only and uses the older Base-Rocket style.</t>
        </is>
      </c>
    </row>
    <row r="94">
      <c r="A94" t="inlineStr">
        <is>
          <t>Vintage special</t>
        </is>
      </c>
      <c r="B94" t="inlineStr">
        <is>
          <t>Marill</t>
        </is>
      </c>
      <c r="C94" t="inlineStr">
        <is>
          <t>Intro Pack Neo / Totodile Half Deck 2</t>
        </is>
      </c>
      <c r="D94" t="inlineStr">
        <is>
          <t>Japanese</t>
        </is>
      </c>
      <c r="E94" t="inlineStr">
        <is>
          <t>Deck-exclusive card #2</t>
        </is>
      </c>
      <c r="F94" t="inlineStr">
        <is>
          <t>Keep distinct physical row</t>
        </is>
      </c>
      <c r="G94" t="inlineStr">
        <is>
          <t>VERIFIED</t>
        </is>
      </c>
      <c r="H94" t="inlineStr">
        <is>
          <t>https://bulbapedia.bulbagarden.net/wiki/Marill_(Totodile_Half_Deck_2)</t>
        </is>
      </c>
      <c r="I94" t="inlineStr">
        <is>
          <t>Buy exact deck single; sealed Intro Pack Neo is unnecessary.</t>
        </is>
      </c>
      <c r="J94" t="inlineStr">
        <is>
          <t>Japanese-only deck card, not an English release.</t>
        </is>
      </c>
    </row>
    <row r="95">
      <c r="A95" t="inlineStr">
        <is>
          <t>Vintage special</t>
        </is>
      </c>
      <c r="B95" t="inlineStr">
        <is>
          <t>Marill</t>
        </is>
      </c>
      <c r="C95" t="inlineStr">
        <is>
          <t>McDonald's Pokémon-e Minimum Pack 009/018</t>
        </is>
      </c>
      <c r="D95" t="inlineStr">
        <is>
          <t>Japanese</t>
        </is>
      </c>
      <c r="E95" t="inlineStr">
        <is>
          <t>Japanese McDonald's e-Reader card</t>
        </is>
      </c>
      <c r="F95" t="inlineStr">
        <is>
          <t>Keep distinct physical row</t>
        </is>
      </c>
      <c r="G95" t="inlineStr">
        <is>
          <t>VERIFIED</t>
        </is>
      </c>
      <c r="H95" t="inlineStr">
        <is>
          <t>https://bulbapedia.bulbagarden.net/wiki/Marill_(McDonald_Pack_9)</t>
        </is>
      </c>
      <c r="I95" t="inlineStr">
        <is>
          <t>Buy the 009/018 single; vintage sealed McDonald's pack is not needed.</t>
        </is>
      </c>
      <c r="J95" t="inlineStr">
        <is>
          <t>Japanese-only McDonald's Pokémon-e Minimum Pack card with e-Reader data.</t>
        </is>
      </c>
    </row>
    <row r="96">
      <c r="A96" t="inlineStr">
        <is>
          <t>Special collection</t>
        </is>
      </c>
      <c r="B96" t="inlineStr">
        <is>
          <t>Marill</t>
        </is>
      </c>
      <c r="C96" t="inlineStr">
        <is>
          <t>McDonald's Collection 2015 10/12</t>
        </is>
      </c>
      <c r="D96" t="inlineStr">
        <is>
          <t>English</t>
        </is>
      </c>
      <c r="E96" t="inlineStr">
        <is>
          <t>Confetti Holo reprint</t>
        </is>
      </c>
      <c r="F96" t="inlineStr">
        <is>
          <t>Keep English only in Core</t>
        </is>
      </c>
      <c r="G96" t="inlineStr">
        <is>
          <t>VERIFIED</t>
        </is>
      </c>
      <c r="H96" t="inlineStr">
        <is>
          <t>https://bulbapedia.bulbagarden.net/wiki/McDonald%27s_Collection_2015_(TCG)</t>
        </is>
      </c>
      <c r="I96" t="inlineStr">
        <is>
          <t>Buy English 10/12 single.</t>
        </is>
      </c>
      <c r="J96" t="inlineStr">
        <is>
          <t>Official set was English and French only. Spanish mirrored row was invalid and removed; French remains optional Global Extra under collection rules.</t>
        </is>
      </c>
    </row>
    <row r="97">
      <c r="A97" t="inlineStr">
        <is>
          <t>Japanese product</t>
        </is>
      </c>
      <c r="B97" t="inlineStr">
        <is>
          <t>Marill</t>
        </is>
      </c>
      <c r="C97" t="inlineStr">
        <is>
          <t>Everyone's Exciting Battle 011/047</t>
        </is>
      </c>
      <c r="D97" t="inlineStr">
        <is>
          <t>Japanese</t>
        </is>
      </c>
      <c r="E97" t="inlineStr">
        <is>
          <t>Fixed-product card</t>
        </is>
      </c>
      <c r="F97" t="inlineStr">
        <is>
          <t>Keep distinct physical row</t>
        </is>
      </c>
      <c r="G97" t="inlineStr">
        <is>
          <t>VERIFIED</t>
        </is>
      </c>
      <c r="H97" t="inlineStr">
        <is>
          <t>https://bulbapedia.bulbagarden.net/wiki/Marill_(Everyone%27s_Exciting_Battle_11)</t>
        </is>
      </c>
      <c r="I97" t="inlineStr">
        <is>
          <t>Buy 011/047 single.</t>
        </is>
      </c>
      <c r="J97" t="inlineStr">
        <is>
          <t>Japanese-only card in Everyone's Exciting Battle.</t>
        </is>
      </c>
    </row>
    <row r="98">
      <c r="A98" t="inlineStr">
        <is>
          <t>Japanese product</t>
        </is>
      </c>
      <c r="B98" t="inlineStr">
        <is>
          <t>Azumarill</t>
        </is>
      </c>
      <c r="C98" t="inlineStr">
        <is>
          <t>Everyone's Exciting Battle 012/047</t>
        </is>
      </c>
      <c r="D98" t="inlineStr">
        <is>
          <t>Japanese</t>
        </is>
      </c>
      <c r="E98" t="inlineStr">
        <is>
          <t>Fixed-product card</t>
        </is>
      </c>
      <c r="F98" t="inlineStr">
        <is>
          <t>Keep distinct physical row</t>
        </is>
      </c>
      <c r="G98" t="inlineStr">
        <is>
          <t>VERIFIED</t>
        </is>
      </c>
      <c r="H98" t="inlineStr">
        <is>
          <t>https://bulbapedia.bulbagarden.net/wiki/Azumarill_(Everyone%27s_Exciting_Battle_12)</t>
        </is>
      </c>
      <c r="I98" t="inlineStr">
        <is>
          <t>Buy 012/047 single.</t>
        </is>
      </c>
      <c r="J98" t="inlineStr">
        <is>
          <t>Japanese-only companion to Marill 011/047.</t>
        </is>
      </c>
    </row>
    <row r="99">
      <c r="A99" t="inlineStr">
        <is>
          <t>Play! Pokémon</t>
        </is>
      </c>
      <c r="B99" t="inlineStr">
        <is>
          <t>Azumarill</t>
        </is>
      </c>
      <c r="C99" t="inlineStr">
        <is>
          <t>Prize Pack Series Seven SSP 074</t>
        </is>
      </c>
      <c r="D99" t="inlineStr">
        <is>
          <t>English</t>
        </is>
      </c>
      <c r="E99" t="inlineStr">
        <is>
          <t>Play! Pokémon Prize Pack printing</t>
        </is>
      </c>
      <c r="F99" t="inlineStr">
        <is>
          <t>Keep distinct physical row</t>
        </is>
      </c>
      <c r="G99" t="inlineStr">
        <is>
          <t>VERIFIED</t>
        </is>
      </c>
      <c r="H99" t="inlineStr">
        <is>
          <t>https://www.tcgplayer.com/categories/trading-and-collectible-card-games/pokemon/price-guides/prize-pack-series-cards; https://www.cardmarket.com/en/Pokemon/Products/Singles/Play-Pokemon-Prize-Pack-Series-Seven/Azumarill-PPS7SSP-074</t>
        </is>
      </c>
      <c r="I99" t="inlineStr">
        <is>
          <t>Buy as a cheap single; no reason to open Prize Packs for it.</t>
        </is>
      </c>
      <c r="J99" t="inlineStr">
        <is>
          <t>Market checklists independently list Azumarill 074/191 as a Prize Pack Series card.</t>
        </is>
      </c>
    </row>
    <row r="100">
      <c r="A100" t="inlineStr">
        <is>
          <t>Regional</t>
        </is>
      </c>
      <c r="B100" t="inlineStr">
        <is>
          <t>Marill</t>
        </is>
      </c>
      <c r="C100" t="inlineStr">
        <is>
          <t>Travel Special Pack 096</t>
        </is>
      </c>
      <c r="D100" t="inlineStr">
        <is>
          <t>Chinese</t>
        </is>
      </c>
      <c r="E100" t="inlineStr">
        <is>
          <t>Illustration Rare regional special-pack card</t>
        </is>
      </c>
      <c r="F100" t="inlineStr">
        <is>
          <t>Keep distinct physical row</t>
        </is>
      </c>
      <c r="G100" t="inlineStr">
        <is>
          <t>VERIFIED</t>
        </is>
      </c>
      <c r="H100" t="inlineStr">
        <is>
          <t>https://www.cardmarket.com/en/Pokemon/Products/Singles/Travel-Special-Pack/Marill-CSVL2C096</t>
        </is>
      </c>
      <c r="I100" t="inlineStr">
        <is>
          <t>Use Cardmarket/eBay/Asian-market sellers; exact search 'Marill CSVL2C 096'.</t>
        </is>
      </c>
      <c r="J100" t="inlineStr">
        <is>
          <t>Market catalog confirms distinct Travel Special Pack 096 release.</t>
        </is>
      </c>
    </row>
    <row r="101">
      <c r="A101" t="inlineStr">
        <is>
          <t>Regional</t>
        </is>
      </c>
      <c r="B101" t="inlineStr">
        <is>
          <t>Azumarill</t>
        </is>
      </c>
      <c r="C101" t="inlineStr">
        <is>
          <t>Scarlet &amp; Violet Indonesian Promo 214</t>
        </is>
      </c>
      <c r="D101" t="inlineStr">
        <is>
          <t>Indonesian</t>
        </is>
      </c>
      <c r="E101" t="inlineStr">
        <is>
          <t>Regional promo</t>
        </is>
      </c>
      <c r="F101" t="inlineStr">
        <is>
          <t>Keep distinct physical row</t>
        </is>
      </c>
      <c r="G101" t="inlineStr">
        <is>
          <t>VERIFIED</t>
        </is>
      </c>
      <c r="H101" t="inlineStr">
        <is>
          <t>https://www.cardmarket.com/en/Pokemon/Products/Singles/Scarlet-Violet-Indonesian-Promos/Azumarill-SV-PID214</t>
        </is>
      </c>
      <c r="I101" t="inlineStr">
        <is>
          <t>Use saved searches; availability may be sparse.</t>
        </is>
      </c>
      <c r="J101" t="inlineStr">
        <is>
          <t>Market catalog confirms distinct Indonesian promo 214.</t>
        </is>
      </c>
    </row>
    <row r="102">
      <c r="A102" t="inlineStr">
        <is>
          <t>Regional</t>
        </is>
      </c>
      <c r="B102" t="inlineStr">
        <is>
          <t>Marill/Azumarill</t>
        </is>
      </c>
      <c r="C102" t="inlineStr">
        <is>
          <t>Thai, Indonesian and Simplified Chinese numbered releases</t>
        </is>
      </c>
      <c r="D102" t="inlineStr">
        <is>
          <t>Regional</t>
        </is>
      </c>
      <c r="E102" t="inlineStr">
        <is>
          <t>Distinct regional card numbers/products</t>
        </is>
      </c>
      <c r="F102" t="inlineStr">
        <is>
          <t>Keep as Core when number/product differs</t>
        </is>
      </c>
      <c r="G102" t="inlineStr">
        <is>
          <t>VERIFIED</t>
        </is>
      </c>
      <c r="H102" t="inlineStr">
        <is>
          <t>https://www.cardmarket.com/en/Pokemon/Species/Marill; https://www.cardmarket.com/en/Pokemon/Species/Azumarill</t>
        </is>
      </c>
      <c r="I102" t="inlineStr">
        <is>
          <t>Search exact regional number + language; use Cardmarket/eBay/Asian sellers.</t>
        </is>
      </c>
      <c r="J102" t="inlineStr">
        <is>
          <t>Species catalogs confirm the workbook's Thai promo, Indonesian promo, Fearless Terastal, Final Flame Dance, Stellar Crystal and related numbered regional releases.</t>
        </is>
      </c>
    </row>
  </sheetData>
  <conditionalFormatting sqref="F2:F16">
    <cfRule type="expression" priority="1" dxfId="0">
      <formula>F2="VERIFIED"</formula>
    </cfRule>
    <cfRule type="expression" priority="2" dxfId="1">
      <formula>F2="PARTIAL"</formula>
    </cfRule>
    <cfRule type="expression" priority="3" dxfId="2">
      <formula>F2="CONFLICT"</formula>
    </cfRule>
  </conditionalFormatting>
  <conditionalFormatting sqref="G2:G22">
    <cfRule type="expression" priority="4" dxfId="0">
      <formula>G2="VERIFIED"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40" customWidth="1" style="37" min="2" max="2"/>
    <col width="20" customWidth="1" style="37" min="3" max="3"/>
    <col width="40" customWidth="1" style="37" min="4" max="4"/>
    <col width="12" customWidth="1" style="37" min="5" max="5"/>
    <col width="62" customWidth="1" style="37" min="6" max="6"/>
    <col width="46" customWidth="1" style="37" min="7" max="7"/>
    <col width="55" customWidth="1" style="37" min="8" max="8"/>
  </cols>
  <sheetData>
    <row r="1">
      <c r="A1" s="98" t="inlineStr">
        <is>
          <t>Rule / Era</t>
        </is>
      </c>
      <c r="B1" s="98" t="inlineStr">
        <is>
          <t>Example</t>
        </is>
      </c>
      <c r="C1" s="98" t="inlineStr">
        <is>
          <t>Before</t>
        </is>
      </c>
      <c r="D1" s="98" t="inlineStr">
        <is>
          <t>After</t>
        </is>
      </c>
      <c r="E1" s="98" t="inlineStr">
        <is>
          <t>Required?</t>
        </is>
      </c>
      <c r="F1" s="98" t="inlineStr">
        <is>
          <t>Evidence</t>
        </is>
      </c>
      <c r="G1" s="98" t="inlineStr">
        <is>
          <t>Collector Rule</t>
        </is>
      </c>
      <c r="H1" s="98" t="inlineStr">
        <is>
          <t>Notes</t>
        </is>
      </c>
    </row>
    <row r="2">
      <c r="A2" s="26" t="inlineStr">
        <is>
          <t>Neo Genesis</t>
        </is>
      </c>
      <c r="B2" s="26" t="inlineStr">
        <is>
          <t>Marill 66/111 English</t>
        </is>
      </c>
      <c r="C2" s="26" t="inlineStr">
        <is>
          <t>1 release row</t>
        </is>
      </c>
      <c r="D2" s="26" t="inlineStr">
        <is>
          <t>1st Edition + Unlimited</t>
        </is>
      </c>
      <c r="E2" s="26" t="inlineStr">
        <is>
          <t>Yes</t>
        </is>
      </c>
      <c r="F2" s="26" t="inlineStr">
        <is>
          <t>https://bulbapedia.bulbagarden.net/wiki/Neo_Genesis_(TCG)</t>
        </is>
      </c>
      <c r="G2" s="26" t="inlineStr">
        <is>
          <t>Edition differences count</t>
        </is>
      </c>
      <c r="H2" s="26" t="inlineStr">
        <is>
          <t>English and Spanish both split.</t>
        </is>
      </c>
    </row>
    <row r="3">
      <c r="A3" s="26" t="inlineStr">
        <is>
          <t>EX Sandstorm</t>
        </is>
      </c>
      <c r="B3" s="26" t="inlineStr">
        <is>
          <t>Azurill 31/100 English</t>
        </is>
      </c>
      <c r="C3" s="26" t="inlineStr">
        <is>
          <t>1 release row</t>
        </is>
      </c>
      <c r="D3" s="26" t="inlineStr">
        <is>
          <t>Standard + Reverse Holo</t>
        </is>
      </c>
      <c r="E3" s="26" t="inlineStr">
        <is>
          <t>Yes</t>
        </is>
      </c>
      <c r="F3" s="26" t="inlineStr">
        <is>
          <t>https://bulbapedia.bulbagarden.net/wiki/EX_Sandstorm_(TCG)</t>
        </is>
      </c>
      <c r="G3" s="26" t="inlineStr">
        <is>
          <t>Meaningful finish differences count</t>
        </is>
      </c>
      <c r="H3" s="26" t="inlineStr">
        <is>
          <t>Dot-code microvariants are not split in Core.</t>
        </is>
      </c>
    </row>
    <row r="4">
      <c r="A4" s="26" t="inlineStr">
        <is>
          <t>Aquapolis</t>
        </is>
      </c>
      <c r="B4" s="26" t="inlineStr">
        <is>
          <t>Azumarill H4 + 4/147</t>
        </is>
      </c>
      <c r="C4" s="26" t="inlineStr">
        <is>
          <t>2 release rows</t>
        </is>
      </c>
      <c r="D4" s="26" t="inlineStr">
        <is>
          <t>H4 Holo; 4/147 Standard + Reverse</t>
        </is>
      </c>
      <c r="E4" s="26" t="inlineStr">
        <is>
          <t>Yes</t>
        </is>
      </c>
      <c r="F4" s="26" t="inlineStr">
        <is>
          <t>https://bulbapedia.bulbagarden.net/wiki/Aquapolis_(TCG)</t>
        </is>
      </c>
      <c r="G4" s="26" t="inlineStr">
        <is>
          <t>Different numbered/finish cards count</t>
        </is>
      </c>
      <c r="H4" s="26" t="inlineStr">
        <is>
          <t>H4 has no reverse parallel.</t>
        </is>
      </c>
    </row>
    <row r="5">
      <c r="A5" s="26" t="inlineStr">
        <is>
          <t>EX Team Rocket Returns</t>
        </is>
      </c>
      <c r="B5" s="26" t="inlineStr">
        <is>
          <t>Azumarill 1/109</t>
        </is>
      </c>
      <c r="C5" s="26" t="inlineStr">
        <is>
          <t>1 release row</t>
        </is>
      </c>
      <c r="D5" s="26" t="inlineStr">
        <is>
          <t>Holo + Reverse + James Deck Non-Holo</t>
        </is>
      </c>
      <c r="E5" s="26" t="inlineStr">
        <is>
          <t>Yes</t>
        </is>
      </c>
      <c r="F5" s="26" t="inlineStr">
        <is>
          <t>https://bulbapedia.bulbagarden.net/wiki/EX_Team_Rocket_Returns_(TCG)</t>
        </is>
      </c>
      <c r="G5" s="26" t="inlineStr">
        <is>
          <t>Deck-exclusive physical printing counts</t>
        </is>
      </c>
      <c r="H5" s="26" t="inlineStr">
        <is>
          <t>Three English targets.</t>
        </is>
      </c>
    </row>
    <row r="6">
      <c r="A6" s="26" t="inlineStr">
        <is>
          <t>Diamond &amp; Pearl</t>
        </is>
      </c>
      <c r="B6" s="26" t="inlineStr">
        <is>
          <t>Azurill 69/130 Spanish</t>
        </is>
      </c>
      <c r="C6" s="26" t="inlineStr">
        <is>
          <t>1 release row</t>
        </is>
      </c>
      <c r="D6" s="26" t="inlineStr">
        <is>
          <t>Standard only</t>
        </is>
      </c>
      <c r="E6" s="26" t="inlineStr">
        <is>
          <t>Yes</t>
        </is>
      </c>
      <c r="F6" s="26" t="inlineStr">
        <is>
          <t>https://bulbapedia.bulbagarden.net/wiki/Diamond_%26_Pearl_(TCG)</t>
        </is>
      </c>
      <c r="G6" s="26" t="inlineStr">
        <is>
          <t>Only officially issued finish counts</t>
        </is>
      </c>
      <c r="H6" s="26" t="inlineStr">
        <is>
          <t>Spanish lacked reverse holos.</t>
        </is>
      </c>
    </row>
    <row r="7">
      <c r="A7" s="26" t="inlineStr">
        <is>
          <t>HGSS</t>
        </is>
      </c>
      <c r="B7" s="26" t="inlineStr">
        <is>
          <t>Marill Japanese 024/070</t>
        </is>
      </c>
      <c r="C7" s="26" t="inlineStr">
        <is>
          <t>1 release row</t>
        </is>
      </c>
      <c r="D7" s="26" t="inlineStr">
        <is>
          <t>1st Edition + Mirror Reverse</t>
        </is>
      </c>
      <c r="E7" s="26" t="inlineStr">
        <is>
          <t>Yes</t>
        </is>
      </c>
      <c r="F7" s="26" t="inlineStr">
        <is>
          <t>https://bulbapedia.bulbagarden.net/wiki/HeartGold_%26_SoulSilver_(TCG)</t>
        </is>
      </c>
      <c r="G7" s="26" t="inlineStr">
        <is>
          <t>Japanese mirror counts</t>
        </is>
      </c>
      <c r="H7" s="26" t="inlineStr">
        <is>
          <t>Japanese HGSS Collection was 1st Edition only.</t>
        </is>
      </c>
    </row>
    <row r="8">
      <c r="A8" s="26" t="inlineStr">
        <is>
          <t>BW / XY</t>
        </is>
      </c>
      <c r="B8" s="26" t="inlineStr">
        <is>
          <t>Marill Boundaries Crossed / Primal Clash / Steam Siege</t>
        </is>
      </c>
      <c r="C8" s="26" t="inlineStr">
        <is>
          <t>1 row each</t>
        </is>
      </c>
      <c r="D8" s="26" t="inlineStr">
        <is>
          <t>EN/ES regular + reverse; JP 1st + Unlimited</t>
        </is>
      </c>
      <c r="E8" s="26" t="inlineStr">
        <is>
          <t>Yes</t>
        </is>
      </c>
      <c r="F8" s="26" t="inlineStr">
        <is>
          <t>https://bulbapedia.bulbagarden.net/wiki/Boundaries_Crossed_(TCG)</t>
        </is>
      </c>
      <c r="G8" s="26" t="inlineStr">
        <is>
          <t>Verified edition/finish differences count</t>
        </is>
      </c>
      <c r="H8" s="26" t="inlineStr">
        <is>
          <t>Applied only to audited family rows.</t>
        </is>
      </c>
    </row>
    <row r="9">
      <c r="A9" s="26" t="inlineStr">
        <is>
          <t>Sun &amp; Moon onward</t>
        </is>
      </c>
      <c r="B9" s="26" t="inlineStr">
        <is>
          <t>Burning Shadows / Lost Thunder / Cosmic Eclipse</t>
        </is>
      </c>
      <c r="C9" s="26" t="inlineStr">
        <is>
          <t>1 EN/ES row</t>
        </is>
      </c>
      <c r="D9" s="26" t="inlineStr">
        <is>
          <t>Standard + Reverse</t>
        </is>
      </c>
      <c r="E9" s="26" t="inlineStr">
        <is>
          <t>Yes</t>
        </is>
      </c>
      <c r="F9" s="26" t="inlineStr">
        <is>
          <t>https://bulbapedia.bulbagarden.net/wiki/Cosmic_Eclipse_(TCG)</t>
        </is>
      </c>
      <c r="G9" s="26" t="inlineStr">
        <is>
          <t>Reverse parallels count</t>
        </is>
      </c>
      <c r="H9" s="26" t="inlineStr">
        <is>
          <t>Japanese is unlimited-only from Sun &amp; Moon era.</t>
        </is>
      </c>
    </row>
    <row r="10">
      <c r="A10" s="26" t="inlineStr">
        <is>
          <t>Special products</t>
        </is>
      </c>
      <c r="B10" s="26" t="inlineStr">
        <is>
          <t>ANA / McDonald's / Trainer Kit / Battle Academy / Prize Pack</t>
        </is>
      </c>
      <c r="C10" s="26" t="inlineStr">
        <is>
          <t>1 row</t>
        </is>
      </c>
      <c r="D10" s="26" t="inlineStr">
        <is>
          <t>1 distinct product printing</t>
        </is>
      </c>
      <c r="E10" s="26" t="inlineStr">
        <is>
          <t>Yes</t>
        </is>
      </c>
      <c r="F10" s="26" t="inlineStr">
        <is>
          <t>https://bulbapedia.bulbagarden.net/wiki/Marill_(TCG)</t>
        </is>
      </c>
      <c r="G10" s="26" t="inlineStr">
        <is>
          <t>Unique product/card number/stamp counts</t>
        </is>
      </c>
      <c r="H10" s="26" t="inlineStr">
        <is>
          <t>Kept separate.</t>
        </is>
      </c>
    </row>
    <row r="11">
      <c r="A11" s="26" t="inlineStr">
        <is>
          <t>Error / dot-code microvariants</t>
        </is>
      </c>
      <c r="B11" s="26" t="inlineStr">
        <is>
          <t>EX Sandstorm Marill no-retreat error; EX-era dot codes</t>
        </is>
      </c>
      <c r="C11" s="26" t="inlineStr">
        <is>
          <t>Not expanded</t>
        </is>
      </c>
      <c r="D11" s="26" t="inlineStr">
        <is>
          <t>Optional oddity</t>
        </is>
      </c>
      <c r="E11" s="26" t="inlineStr">
        <is>
          <t>No</t>
        </is>
      </c>
      <c r="F11" s="26" t="inlineStr">
        <is>
          <t>https://bulbapedia.bulbagarden.net/wiki/Marill_(EX_Sandstorm_68)</t>
        </is>
      </c>
      <c r="G11" s="26" t="inlineStr">
        <is>
          <t>Level-3 Core stops at meaningful official printing/finish/edition differences</t>
        </is>
      </c>
      <c r="H11" s="26" t="inlineStr">
        <is>
          <t>Can be added later as Bonus Oddities without blocking 100%.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style="37" min="1" max="1"/>
    <col width="56" customWidth="1" style="37" min="2" max="2"/>
    <col width="42" customWidth="1" style="37" min="3" max="3"/>
    <col width="14" customWidth="1" style="37" min="4" max="4"/>
    <col width="62" customWidth="1" style="37" min="5" max="5"/>
    <col width="14" customWidth="1" style="37" min="6" max="6"/>
    <col width="52" customWidth="1" style="37" min="7" max="7"/>
    <col width="45" customWidth="1" style="37" min="8" max="8"/>
  </cols>
  <sheetData>
    <row r="1">
      <c r="A1" s="102" t="inlineStr">
        <is>
          <t>Check</t>
        </is>
      </c>
      <c r="B1" s="102" t="inlineStr">
        <is>
          <t>Finding</t>
        </is>
      </c>
      <c r="C1" s="102" t="inlineStr">
        <is>
          <t>Action</t>
        </is>
      </c>
      <c r="D1" s="102" t="inlineStr">
        <is>
          <t>Status</t>
        </is>
      </c>
      <c r="E1" s="102" t="inlineStr">
        <is>
          <t>Source</t>
        </is>
      </c>
      <c r="F1" s="102" t="inlineStr">
        <is>
          <t>Count Impact</t>
        </is>
      </c>
      <c r="G1" s="102" t="inlineStr">
        <is>
          <t>Why</t>
        </is>
      </c>
      <c r="H1" s="102" t="inlineStr">
        <is>
          <t>Tracker Rule</t>
        </is>
      </c>
    </row>
    <row r="2">
      <c r="A2" s="41" t="inlineStr">
        <is>
          <t>Species catalog cross-check: Azurill</t>
        </is>
      </c>
      <c r="B2" s="41" t="inlineStr">
        <is>
          <t>Current catalog includes Storm Emeralda 054/076 regular AND 086/076 Illustration Rare.</t>
        </is>
      </c>
      <c r="C2" s="41" t="inlineStr">
        <is>
          <t>Added 086/076</t>
        </is>
      </c>
      <c r="D2" s="41" t="inlineStr">
        <is>
          <t>VERIFIED</t>
        </is>
      </c>
      <c r="E2" s="41" t="inlineStr">
        <is>
          <t>https://bulbapedia.bulbagarden.net/wiki/Azurill_(TCG)</t>
        </is>
      </c>
      <c r="F2" s="41" t="inlineStr">
        <is>
          <t>+1</t>
        </is>
      </c>
      <c r="G2" s="41" t="inlineStr">
        <is>
          <t>Set released in Japan July 31, 2026.</t>
        </is>
      </c>
      <c r="H2" s="41" t="inlineStr">
        <is>
          <t>Both Japanese physical prints are Core.</t>
        </is>
      </c>
    </row>
    <row r="3">
      <c r="A3" s="41" t="inlineStr">
        <is>
          <t>Current Ascended Heroes language</t>
        </is>
      </c>
      <c r="B3" s="41" t="inlineStr">
        <is>
          <t>Ascended Heroes is officially released in Spanish.</t>
        </is>
      </c>
      <c r="C3" s="41" t="inlineStr">
        <is>
          <t>Spanish Marill rows restored as required.</t>
        </is>
      </c>
      <c r="D3" s="41" t="inlineStr">
        <is>
          <t>VERIFIED</t>
        </is>
      </c>
      <c r="E3" s="41" t="inlineStr">
        <is>
          <t>https://bulbapedia.bulbagarden.net/wiki/Ascended_Heroes_(TCG)</t>
        </is>
      </c>
      <c r="F3" s="41" t="inlineStr">
        <is>
          <t>+2 VERIFY→required</t>
        </is>
      </c>
      <c r="G3" s="41" t="inlineStr">
        <is>
          <t>Set-level release info supersedes incomplete individual-card language tabs.</t>
        </is>
      </c>
      <c r="H3" s="41" t="inlineStr">
        <is>
          <t>Spanish is baseline language.</t>
        </is>
      </c>
    </row>
    <row r="4">
      <c r="A4" s="41" t="inlineStr">
        <is>
          <t>Ascended Heroes Marill parallels</t>
        </is>
      </c>
      <c r="B4" s="41" t="inlineStr">
        <is>
          <t>Marill 083/217 has two Mirror Holofoil variants: Psychic Energy symbol and Friend Ball.</t>
        </is>
      </c>
      <c r="C4" s="41" t="inlineStr">
        <is>
          <t>Expanded EN and ES regular rows to 3 physical targets each.</t>
        </is>
      </c>
      <c r="D4" s="41" t="inlineStr">
        <is>
          <t>VERIFIED</t>
        </is>
      </c>
      <c r="E4" s="41" t="inlineStr">
        <is>
          <t>https://bulbapedia.bulbagarden.net/wiki/Marill_(Ascended_Heroes_83)</t>
        </is>
      </c>
      <c r="F4" s="41" t="inlineStr">
        <is>
          <t>+4</t>
        </is>
      </c>
      <c r="G4" s="41" t="inlineStr">
        <is>
          <t>These are official parallel physical variants.</t>
        </is>
      </c>
      <c r="H4" s="41" t="inlineStr">
        <is>
          <t>Regular + both mirrors count separately.</t>
        </is>
      </c>
    </row>
    <row r="5">
      <c r="A5" s="41" t="inlineStr">
        <is>
          <t>EX Delta Species Azumarill 114/113</t>
        </is>
      </c>
      <c r="B5" s="41" t="inlineStr">
        <is>
          <t>114/113 is a Secret Box Topper, not a normal set card with a reverse-holo parallel.</t>
        </is>
      </c>
      <c r="C5" s="41" t="inlineStr">
        <is>
          <t>Removed false reverse row.</t>
        </is>
      </c>
      <c r="D5" s="41" t="inlineStr">
        <is>
          <t>VERIFIED</t>
        </is>
      </c>
      <c r="E5" s="41" t="inlineStr">
        <is>
          <t>https://bulbapedia.bulbagarden.net/wiki/Azumarill_(EX_Delta_Species_114)</t>
        </is>
      </c>
      <c r="F5" s="41" t="inlineStr">
        <is>
          <t>-1</t>
        </is>
      </c>
      <c r="G5" s="41" t="inlineStr">
        <is>
          <t>Generic EX reverse rule had been applied too broadly.</t>
        </is>
      </c>
      <c r="H5" s="41" t="inlineStr">
        <is>
          <t>One English Secret Box Topper target.</t>
        </is>
      </c>
    </row>
    <row r="6">
      <c r="A6" s="41" t="inlineStr">
        <is>
          <t>Marill HGSS Trainer Kit</t>
        </is>
      </c>
      <c r="B6" s="41" t="inlineStr">
        <is>
          <t>Two distinct reprint numbers 15/30 and 24/30 exist in the Gyarados Half Deck.</t>
        </is>
      </c>
      <c r="C6" s="41" t="inlineStr">
        <is>
          <t>Already present in Core.</t>
        </is>
      </c>
      <c r="D6" s="41" t="inlineStr">
        <is>
          <t>VERIFIED</t>
        </is>
      </c>
      <c r="E6" s="41" t="inlineStr">
        <is>
          <t>https://bulbapedia.bulbagarden.net/wiki/HS_Trainer_Kit_(TCG)</t>
        </is>
      </c>
      <c r="F6" s="41" t="inlineStr">
        <is>
          <t>0</t>
        </is>
      </c>
      <c r="G6" s="41" t="inlineStr">
        <is>
          <t>Both have unique Trainer Kit collection numbers.</t>
        </is>
      </c>
      <c r="H6" s="41" t="inlineStr">
        <is>
          <t>Keep both English cards.</t>
        </is>
      </c>
    </row>
    <row r="7">
      <c r="A7" s="41" t="inlineStr">
        <is>
          <t>Marill species catalog</t>
        </is>
      </c>
      <c r="B7" s="41" t="inlineStr">
        <is>
          <t>Catalog cross-check covers Wizards promo through Ascended Heroes plus deck/product reprints.</t>
        </is>
      </c>
      <c r="C7" s="41" t="inlineStr">
        <is>
          <t>No missing named/reprint rows found after Trainer Kit check.</t>
        </is>
      </c>
      <c r="D7" s="41" t="inlineStr">
        <is>
          <t>VERIFIED</t>
        </is>
      </c>
      <c r="E7" s="41" t="inlineStr">
        <is>
          <t>https://bulbapedia.bulbagarden.net/wiki/Marill_(TCG)</t>
        </is>
      </c>
      <c r="F7" s="41" t="inlineStr">
        <is>
          <t>0</t>
        </is>
      </c>
      <c r="G7" s="41" t="inlineStr">
        <is>
          <t>Used as final named-release gap check.</t>
        </is>
      </c>
      <c r="H7" s="41" t="inlineStr">
        <is>
          <t>Regional products remain supplemental from market catalogs.</t>
        </is>
      </c>
    </row>
    <row r="8">
      <c r="A8" s="41" t="inlineStr">
        <is>
          <t>Azumarill species catalog</t>
        </is>
      </c>
      <c r="B8" s="41" t="inlineStr">
        <is>
          <t>Catalog cross-check through Ascended Heroes ex plus Everyone's Exciting Battle and product reprints.</t>
        </is>
      </c>
      <c r="C8" s="41" t="inlineStr">
        <is>
          <t>No missing named-release rows found.</t>
        </is>
      </c>
      <c r="D8" s="41" t="inlineStr">
        <is>
          <t>VERIFIED</t>
        </is>
      </c>
      <c r="E8" s="41" t="inlineStr">
        <is>
          <t>https://bulbapedia.bulbagarden.net/wiki/Azumarill_(TCG)</t>
        </is>
      </c>
      <c r="F8" s="41" t="inlineStr">
        <is>
          <t>0</t>
        </is>
      </c>
      <c r="G8" s="41" t="inlineStr">
        <is>
          <t>Final named-release gap check.</t>
        </is>
      </c>
      <c r="H8" s="41" t="inlineStr">
        <is>
          <t>Unique regional products stay Core where separately numbered.</t>
        </is>
      </c>
    </row>
    <row r="9">
      <c r="A9" s="41" t="inlineStr">
        <is>
          <t>Micro-error policy</t>
        </is>
      </c>
      <c r="B9" s="41" t="inlineStr">
        <is>
          <t>Ascended Heroes Marill ink ghosting and older EX print errors exist.</t>
        </is>
      </c>
      <c r="C9" s="41" t="inlineStr">
        <is>
          <t>Exclude from required Core.</t>
        </is>
      </c>
      <c r="D9" s="41" t="inlineStr">
        <is>
          <t>RULE</t>
        </is>
      </c>
      <c r="E9" s="41" t="inlineStr">
        <is>
          <t>https://bulbapedia.bulbagarden.net/wiki/Error_cards</t>
        </is>
      </c>
      <c r="F9" s="41" t="inlineStr">
        <is>
          <t>0</t>
        </is>
      </c>
      <c r="G9" s="41" t="inlineStr">
        <is>
          <t>Manufacturing errors are not official planned variants.</t>
        </is>
      </c>
      <c r="H9" s="41" t="inlineStr">
        <is>
          <t>Can be Bonus Oddities later.</t>
        </is>
      </c>
    </row>
  </sheetData>
  <conditionalFormatting sqref="D2:D9">
    <cfRule type="expression" priority="1" dxfId="0">
      <formula>D2="VERIFIED"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54" customWidth="1" style="37" min="2" max="2"/>
    <col width="48" customWidth="1" style="37" min="3" max="3"/>
    <col width="48" customWidth="1" style="37" min="4" max="4"/>
    <col width="30" customWidth="1" style="37" min="5" max="5"/>
    <col width="14" customWidth="1" style="37" min="6" max="6"/>
  </cols>
  <sheetData>
    <row r="1">
      <c r="A1" s="120" t="inlineStr">
        <is>
          <t>AZURILL → MARILL → AZUMARILL MASTER COLLECTION</t>
        </is>
      </c>
      <c r="B1" s="1" t="n"/>
      <c r="C1" s="1" t="n"/>
      <c r="D1" s="1" t="n"/>
      <c r="E1" s="1" t="n"/>
      <c r="F1" s="1" t="n"/>
    </row>
    <row r="2">
      <c r="A2" s="112" t="inlineStr">
        <is>
          <t>Rule</t>
        </is>
      </c>
      <c r="B2" s="112" t="inlineStr">
        <is>
          <t>What counts</t>
        </is>
      </c>
      <c r="C2" s="112" t="inlineStr">
        <is>
          <t>What does not count</t>
        </is>
      </c>
      <c r="D2" s="112" t="inlineStr">
        <is>
          <t>Why</t>
        </is>
      </c>
      <c r="E2" s="112" t="inlineStr">
        <is>
          <t>Tracker behavior</t>
        </is>
      </c>
      <c r="F2" s="112" t="inlineStr">
        <is>
          <t>Status</t>
        </is>
      </c>
    </row>
    <row r="3">
      <c r="A3" s="26" t="inlineStr">
        <is>
          <t>Core species</t>
        </is>
      </c>
      <c r="B3" s="26" t="inlineStr">
        <is>
          <t>Azurill, Marill, Azumarill, including named forms such as Azumarill δ and Azumarill ex when the card is part of the family.</t>
        </is>
      </c>
      <c r="C3" s="26" t="inlineStr">
        <is>
          <t>Other Pokémon where the family only appears in artwork.</t>
        </is>
      </c>
      <c r="D3" s="26" t="inlineStr">
        <is>
          <t>This is the family master set.</t>
        </is>
      </c>
      <c r="E3" s="26" t="inlineStr">
        <is>
          <t>Required</t>
        </is>
      </c>
      <c r="F3" s="26" t="inlineStr">
        <is>
          <t>FROZEN</t>
        </is>
      </c>
    </row>
    <row r="4">
      <c r="A4" s="26" t="inlineStr">
        <is>
          <t>Baseline languages</t>
        </is>
      </c>
      <c r="B4" s="26" t="inlineStr">
        <is>
          <t>Every verified English, Japanese and Spanish physical release.</t>
        </is>
      </c>
      <c r="C4" s="26" t="inlineStr">
        <is>
          <t>German, French, Italian, Portuguese, Korean, etc. when they are only translations of the same release.</t>
        </is>
      </c>
      <c r="D4" s="26" t="inlineStr">
        <is>
          <t>Spanish is the one chosen extra international language; Japanese is retained because many products/cards are Japan-only.</t>
        </is>
      </c>
      <c r="E4" s="26" t="inlineStr">
        <is>
          <t>Required</t>
        </is>
      </c>
      <c r="F4" s="26" t="inlineStr">
        <is>
          <t>FROZEN</t>
        </is>
      </c>
    </row>
    <row r="5">
      <c r="A5" s="26" t="inlineStr">
        <is>
          <t>Regional exceptions</t>
        </is>
      </c>
      <c r="B5" s="26" t="inlineStr">
        <is>
          <t>Chinese, Thai, Indonesian or other regional cards when the product/card number or release is genuinely unique.</t>
        </is>
      </c>
      <c r="C5" s="26" t="inlineStr">
        <is>
          <t>Straight language duplicates of an existing card.</t>
        </is>
      </c>
      <c r="D5" s="26" t="inlineStr">
        <is>
          <t>Keeps fun regional exclusives without requiring every language.</t>
        </is>
      </c>
      <c r="E5" s="26" t="inlineStr">
        <is>
          <t>Required when unique</t>
        </is>
      </c>
      <c r="F5" s="26" t="inlineStr">
        <is>
          <t>FROZEN</t>
        </is>
      </c>
    </row>
    <row r="6">
      <c r="A6" s="26" t="inlineStr">
        <is>
          <t>Finishes</t>
        </is>
      </c>
      <c r="B6" s="26" t="inlineStr">
        <is>
          <t>Official regular, holo, reverse, mirror, stamped, deck-exclusive and other planned physical finishes when verified.</t>
        </is>
      </c>
      <c r="C6" s="26" t="inlineStr">
        <is>
          <t>Tiny print-code differences or accidental manufacturing errors.</t>
        </is>
      </c>
      <c r="D6" s="26" t="inlineStr">
        <is>
          <t>These are meaningful collector variants.</t>
        </is>
      </c>
      <c r="E6" s="26" t="inlineStr">
        <is>
          <t>Separate Core rows</t>
        </is>
      </c>
      <c r="F6" s="26" t="inlineStr">
        <is>
          <t>FROZEN</t>
        </is>
      </c>
    </row>
    <row r="7">
      <c r="A7" s="26" t="inlineStr">
        <is>
          <t>Editions</t>
        </is>
      </c>
      <c r="B7" s="26" t="inlineStr">
        <is>
          <t>1st Edition and Unlimited when both were officially issued and verified.</t>
        </is>
      </c>
      <c r="C7" s="26" t="inlineStr">
        <is>
          <t>Unproven edition assumptions.</t>
        </is>
      </c>
      <c r="D7" s="26" t="inlineStr">
        <is>
          <t>Edition marks are meaningful physical differences.</t>
        </is>
      </c>
      <c r="E7" s="26" t="inlineStr">
        <is>
          <t>Separate Core rows</t>
        </is>
      </c>
      <c r="F7" s="26" t="inlineStr">
        <is>
          <t>FROZEN</t>
        </is>
      </c>
    </row>
    <row r="8">
      <c r="A8" s="26" t="inlineStr">
        <is>
          <t>Promos/products</t>
        </is>
      </c>
      <c r="B8" s="26" t="inlineStr">
        <is>
          <t>Unique promos, deck cards, Trainer Kit cards, McDonald's cards, ANA, Prize Pack, Battle Academy and other separately issued products.</t>
        </is>
      </c>
      <c r="C8" s="26" t="inlineStr">
        <is>
          <t>Opening sealed product as a requirement.</t>
        </is>
      </c>
      <c r="D8" s="26" t="inlineStr">
        <is>
          <t>The card is the target, not the pack.</t>
        </is>
      </c>
      <c r="E8" s="26" t="inlineStr">
        <is>
          <t>Separate Core rows</t>
        </is>
      </c>
      <c r="F8" s="26" t="inlineStr">
        <is>
          <t>FROZEN</t>
        </is>
      </c>
    </row>
    <row r="9">
      <c r="A9" s="26" t="inlineStr">
        <is>
          <t>Cameos</t>
        </is>
      </c>
      <c r="B9" s="26" t="inlineStr">
        <is>
          <t>Cards featuring Azurill/Marill/Azumarill in another Pokémon's artwork.</t>
        </is>
      </c>
      <c r="C9" s="26" t="inlineStr">
        <is>
          <t>N/A</t>
        </is>
      </c>
      <c r="D9" s="26" t="inlineStr">
        <is>
          <t>Chosen as a bonus layer rather than part of 100%.</t>
        </is>
      </c>
      <c r="E9" s="26" t="inlineStr">
        <is>
          <t>Bonus only</t>
        </is>
      </c>
      <c r="F9" s="26" t="inlineStr">
        <is>
          <t>FROZEN</t>
        </is>
      </c>
    </row>
    <row r="10">
      <c r="A10" s="26" t="inlineStr">
        <is>
          <t>Errors / oddities</t>
        </is>
      </c>
      <c r="B10" s="26" t="inlineStr">
        <is>
          <t>Optional documented error cards and manufacturing oddities.</t>
        </is>
      </c>
      <c r="C10" s="26" t="inlineStr">
        <is>
          <t>N/A</t>
        </is>
      </c>
      <c r="D10" s="26" t="inlineStr">
        <is>
          <t>Fun rabbit hole, but not needed for completion.</t>
        </is>
      </c>
      <c r="E10" s="26" t="inlineStr">
        <is>
          <t>Bonus only</t>
        </is>
      </c>
      <c r="F10" s="26" t="inlineStr">
        <is>
          <t>FROZEN</t>
        </is>
      </c>
    </row>
    <row r="11">
      <c r="A11" s="26" t="inlineStr">
        <is>
          <t>Completion</t>
        </is>
      </c>
      <c r="B11" s="26" t="inlineStr">
        <is>
          <t>100% means all required Core rows are OWNED. ORDERED does not count until received.</t>
        </is>
      </c>
      <c r="C11" s="26" t="inlineStr">
        <is>
          <t>VERIFY rows</t>
        </is>
      </c>
      <c r="D11" s="26" t="inlineStr">
        <is>
          <t>Final audit has no unresolved VERIFY rows.</t>
        </is>
      </c>
      <c r="E11" s="26" t="inlineStr">
        <is>
          <t>Dashboard formula</t>
        </is>
      </c>
      <c r="F11" s="26" t="inlineStr">
        <is>
          <t>FROZEN</t>
        </is>
      </c>
    </row>
    <row r="12">
      <c r="A12" s="26" t="inlineStr">
        <is>
          <t>Dataset date</t>
        </is>
      </c>
      <c r="B12" s="26" t="inlineStr">
        <is>
          <t>Audited through 2026-08-10.</t>
        </is>
      </c>
      <c r="C12" s="26" t="inlineStr">
        <is>
          <t>Future releases after this date.</t>
        </is>
      </c>
      <c r="D12" s="26" t="inlineStr">
        <is>
          <t>Pokémon keeps releasing cards, so the master set will need periodic additions.</t>
        </is>
      </c>
      <c r="E12" s="26" t="inlineStr">
        <is>
          <t>Do not renumber existing AZF IDs when adding future cards.</t>
        </is>
      </c>
      <c r="F12" s="26" t="inlineStr">
        <is>
          <t>FROZEN</t>
        </is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style="37" min="1" max="1"/>
    <col width="50" customWidth="1" style="37" min="2" max="2"/>
    <col width="46" customWidth="1" style="37" min="3" max="3"/>
    <col width="52" customWidth="1" style="37" min="4" max="4"/>
    <col width="50" customWidth="1" style="37" min="5" max="5"/>
    <col width="14" customWidth="1" style="37" min="6" max="6"/>
  </cols>
  <sheetData>
    <row r="1">
      <c r="A1" s="120" t="inlineStr">
        <is>
          <t>PHONE TRACKER HANDOFF</t>
        </is>
      </c>
      <c r="B1" s="1" t="n"/>
      <c r="C1" s="1" t="n"/>
      <c r="D1" s="1" t="n"/>
      <c r="E1" s="1" t="n"/>
      <c r="F1" s="1" t="n"/>
    </row>
    <row r="2">
      <c r="A2" s="112" t="inlineStr">
        <is>
          <t>Item</t>
        </is>
      </c>
      <c r="B2" s="112" t="inlineStr">
        <is>
          <t>Final value / instruction</t>
        </is>
      </c>
      <c r="C2" s="112" t="inlineStr">
        <is>
          <t>Why it matters</t>
        </is>
      </c>
      <c r="D2" s="112" t="inlineStr">
        <is>
          <t>Claude implementation</t>
        </is>
      </c>
      <c r="E2" s="112" t="inlineStr">
        <is>
          <t>Do not do</t>
        </is>
      </c>
      <c r="F2" s="112" t="inlineStr">
        <is>
          <t>Status</t>
        </is>
      </c>
    </row>
    <row r="3">
      <c r="A3" s="26" t="inlineStr">
        <is>
          <t>Dataset version</t>
        </is>
      </c>
      <c r="B3" s="26" t="inlineStr">
        <is>
          <t>AZF-2026-08-10-v1</t>
        </is>
      </c>
      <c r="C3" s="26" t="inlineStr">
        <is>
          <t>Marks the frozen audited dataset.</t>
        </is>
      </c>
      <c r="D3" s="26" t="inlineStr">
        <is>
          <t>Store this version in app data/settings.</t>
        </is>
      </c>
      <c r="E3" s="26" t="inlineStr">
        <is>
          <t>Do not silently overwrite it.</t>
        </is>
      </c>
      <c r="F3" s="26" t="inlineStr">
        <is>
          <t>READY</t>
        </is>
      </c>
    </row>
    <row r="4">
      <c r="A4" s="26" t="inlineStr">
        <is>
          <t>Required Core count</t>
        </is>
      </c>
      <c r="B4" s="26" t="n">
        <v>257</v>
      </c>
      <c r="C4" s="26" t="inlineStr">
        <is>
          <t>This is the completion denominator.</t>
        </is>
      </c>
      <c r="D4" s="26" t="inlineStr">
        <is>
          <t>Show 0/257 initially and calculate from OWNED status.</t>
        </is>
      </c>
      <c r="E4" s="26" t="inlineStr">
        <is>
          <t>Do not count ORDERED or Bonus.</t>
        </is>
      </c>
      <c r="F4" s="26" t="inlineStr">
        <is>
          <t>READY</t>
        </is>
      </c>
    </row>
    <row r="5">
      <c r="A5" s="26" t="inlineStr">
        <is>
          <t>Species totals</t>
        </is>
      </c>
      <c r="B5" s="26" t="inlineStr">
        <is>
          <t>Azurill 21 | Marill 124 | Azumarill 112</t>
        </is>
      </c>
      <c r="C5" s="26" t="inlineStr">
        <is>
          <t>Useful Pokédex-style progress.</t>
        </is>
      </c>
      <c r="D5" s="26" t="inlineStr">
        <is>
          <t>Show family and species progress.</t>
        </is>
      </c>
      <c r="E5" s="26" t="inlineStr">
        <is>
          <t>Do not recalculate from old 163-row release dataset.</t>
        </is>
      </c>
      <c r="F5" s="26" t="inlineStr">
        <is>
          <t>READY</t>
        </is>
      </c>
    </row>
    <row r="6">
      <c r="A6" s="26" t="inlineStr">
        <is>
          <t>Language totals</t>
        </is>
      </c>
      <c r="B6" s="26" t="inlineStr">
        <is>
          <t>English 97 | Japanese 83 | Spanish 61 | Chinese 9 | Thai 4 | Indonesian 3</t>
        </is>
      </c>
      <c r="C6" s="26" t="inlineStr">
        <is>
          <t>Useful filters and progress.</t>
        </is>
      </c>
      <c r="D6" s="26" t="inlineStr">
        <is>
          <t>Create language chips/filters.</t>
        </is>
      </c>
      <c r="E6" s="26" t="inlineStr">
        <is>
          <t>Do not add every possible language.</t>
        </is>
      </c>
      <c r="F6" s="26" t="inlineStr">
        <is>
          <t>READY</t>
        </is>
      </c>
    </row>
    <row r="7">
      <c r="A7" s="26" t="inlineStr">
        <is>
          <t>Stable IDs</t>
        </is>
      </c>
      <c r="B7" s="26" t="inlineStr">
        <is>
          <t>AZF-001 through AZF-257</t>
        </is>
      </c>
      <c r="C7" s="26" t="inlineStr">
        <is>
          <t>Protects saved ownership data.</t>
        </is>
      </c>
      <c r="D7" s="26" t="inlineStr">
        <is>
          <t>Use StableKey from Notes as primary persistent ID.</t>
        </is>
      </c>
      <c r="E7" s="26" t="inlineStr">
        <is>
          <t>Never renumber existing IDs after launch.</t>
        </is>
      </c>
      <c r="F7" s="26" t="inlineStr">
        <is>
          <t>READY</t>
        </is>
      </c>
    </row>
    <row r="8">
      <c r="A8" s="26" t="inlineStr">
        <is>
          <t>Status values</t>
        </is>
      </c>
      <c r="B8" s="26" t="inlineStr">
        <is>
          <t>NEED | OWNED | ORDERED | SKIP</t>
        </is>
      </c>
      <c r="C8" s="26" t="inlineStr">
        <is>
          <t>Collector workflow.</t>
        </is>
      </c>
      <c r="D8" s="26" t="inlineStr">
        <is>
          <t>Persist locally on phone. OWNED counts toward completion.</t>
        </is>
      </c>
      <c r="E8" s="26" t="inlineStr">
        <is>
          <t>Do not restore VERIFY; audit resolved all VERIFY rows.</t>
        </is>
      </c>
      <c r="F8" s="26" t="inlineStr">
        <is>
          <t>READY</t>
        </is>
      </c>
    </row>
    <row r="9">
      <c r="A9" s="26" t="inlineStr">
        <is>
          <t>Images</t>
        </is>
      </c>
      <c r="B9" s="26" t="inlineStr">
        <is>
          <t>Use lawful external image URLs or user-supplied/local images when available; tracker must still work with no image.</t>
        </is>
      </c>
      <c r="C9" s="26" t="inlineStr">
        <is>
          <t>Card art makes phone browsing useful.</t>
        </is>
      </c>
      <c r="D9" s="26" t="inlineStr">
        <is>
          <t>Support image URL field and graceful placeholder.</t>
        </is>
      </c>
      <c r="E9" s="26" t="inlineStr">
        <is>
          <t>Do not depend on scraped copyrighted image files bundled into the app.</t>
        </is>
      </c>
      <c r="F9" s="26" t="inlineStr">
        <is>
          <t>READY</t>
        </is>
      </c>
    </row>
    <row r="10">
      <c r="A10" s="26" t="inlineStr">
        <is>
          <t>Acquisition help</t>
        </is>
      </c>
      <c r="B10" s="26" t="inlineStr">
        <is>
          <t>Use Search Terms, Acquisition Tip, Difficulty and Source URL from Core Checklist.</t>
        </is>
      </c>
      <c r="C10" s="26" t="inlineStr">
        <is>
          <t>User wants help finding cards when packs are obsolete.</t>
        </is>
      </c>
      <c r="D10" s="26" t="inlineStr">
        <is>
          <t>Card detail screen should expose search text and buying guidance.</t>
        </is>
      </c>
      <c r="E10" s="26" t="inlineStr">
        <is>
          <t>Do not tell user to open expensive vintage packs when singles are practical.</t>
        </is>
      </c>
      <c r="F10" s="26" t="inlineStr">
        <is>
          <t>READY</t>
        </is>
      </c>
    </row>
    <row r="11">
      <c r="A11" s="26" t="inlineStr">
        <is>
          <t>Bonus layers</t>
        </is>
      </c>
      <c r="B11" s="26" t="inlineStr">
        <is>
          <t>Cameos and Error/Oddities are separate from Core.</t>
        </is>
      </c>
      <c r="C11" s="26" t="inlineStr">
        <is>
          <t>Keeps completion sane.</t>
        </is>
      </c>
      <c r="D11" s="26" t="inlineStr">
        <is>
          <t>Separate tabs/sections and separate counts.</t>
        </is>
      </c>
      <c r="E11" s="26" t="inlineStr">
        <is>
          <t>Do not include them in 257 denominator.</t>
        </is>
      </c>
      <c r="F11" s="26" t="inlineStr">
        <is>
          <t>READY</t>
        </is>
      </c>
    </row>
    <row r="12">
      <c r="A12" s="26" t="inlineStr">
        <is>
          <t>Mobile UX</t>
        </is>
      </c>
      <c r="B12" s="26" t="inlineStr">
        <is>
          <t>Pokédex/collector feel, phone-first, saved locally.</t>
        </is>
      </c>
      <c r="C12" s="26" t="inlineStr">
        <is>
          <t>User selected this direction.</t>
        </is>
      </c>
      <c r="D12" s="26" t="inlineStr">
        <is>
          <t>Large tap targets, filters, search, species tabs, progress, card detail view.</t>
        </is>
      </c>
      <c r="E12" s="26" t="inlineStr">
        <is>
          <t>Do not make spreadsheet-like desktop UI.</t>
        </is>
      </c>
      <c r="F12" s="26" t="inlineStr">
        <is>
          <t>READY</t>
        </is>
      </c>
    </row>
    <row r="13">
      <c r="A13" s="26" t="inlineStr">
        <is>
          <t>Source of truth</t>
        </is>
      </c>
      <c r="B13" s="26" t="inlineStr">
        <is>
          <t>Core Checklist sheet in this workbook.</t>
        </is>
      </c>
      <c r="C13" s="26" t="inlineStr">
        <is>
          <t>It contains the final one-row-per-physical-card dataset.</t>
        </is>
      </c>
      <c r="D13" s="26" t="inlineStr">
        <is>
          <t>Import/export from this sheet.</t>
        </is>
      </c>
      <c r="E13" s="26" t="inlineStr">
        <is>
          <t>Do not use old audit sheets as app data.</t>
        </is>
      </c>
      <c r="F13" s="26" t="inlineStr">
        <is>
          <t>READY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2026-08-12T02:06:40Z</dcterms:created>
  <dcterms:modified xmlns:dcterms="http://purl.org/dc/terms/" xmlns:xsi="http://www.w3.org/2001/XMLSchema-instance" xsi:type="dcterms:W3CDTF">2026-08-12T02:06:40Z</dcterms:modified>
</cp:coreProperties>
</file>